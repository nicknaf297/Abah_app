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/>
  <mc:AlternateContent xmlns:mc="http://schemas.openxmlformats.org/markup-compatibility/2006">
    <mc:Choice Requires="x15">
      <x15ac:absPath xmlns:x15ac="http://schemas.microsoft.com/office/spreadsheetml/2010/11/ac" url="C:\Users\nickn\Projects\Abah_app\"/>
    </mc:Choice>
  </mc:AlternateContent>
  <xr:revisionPtr revIDLastSave="0" documentId="13_ncr:1_{10EA64F3-2130-4B06-84C2-9FD8ECC2469B}" xr6:coauthVersionLast="47" xr6:coauthVersionMax="47" xr10:uidLastSave="{00000000-0000-0000-0000-000000000000}"/>
  <bookViews>
    <workbookView xWindow="38280" yWindow="-120" windowWidth="29040" windowHeight="15720" xr2:uid="{00000000-000D-0000-FFFF-FFFF00000000}"/>
  </bookViews>
  <sheets>
    <sheet name="EBRT" sheetId="4" r:id="rId1"/>
    <sheet name="HDR" sheetId="1" r:id="rId2"/>
    <sheet name="LDR-MDR" sheetId="2" r:id="rId3"/>
    <sheet name="PDR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Ryngz2cMhhS6NEpmIivBjiemmrTnNSIDG1eRsp/025k="/>
    </ext>
  </extLst>
</workbook>
</file>

<file path=xl/calcChain.xml><?xml version="1.0" encoding="utf-8"?>
<calcChain xmlns="http://schemas.openxmlformats.org/spreadsheetml/2006/main">
  <c r="D7" i="4" l="1"/>
  <c r="I7" i="4"/>
  <c r="I8" i="4"/>
  <c r="C7" i="4"/>
  <c r="C8" i="4" s="1"/>
  <c r="G22" i="4"/>
  <c r="B22" i="4"/>
  <c r="H21" i="4"/>
  <c r="H22" i="4" s="1"/>
  <c r="C21" i="4"/>
  <c r="D21" i="4" s="1"/>
  <c r="D22" i="4" s="1"/>
  <c r="G15" i="4"/>
  <c r="B15" i="4"/>
  <c r="G8" i="4"/>
  <c r="B8" i="4"/>
  <c r="H14" i="4" s="1"/>
  <c r="I14" i="4" s="1"/>
  <c r="I15" i="4" s="1"/>
  <c r="H7" i="4"/>
  <c r="H27" i="3"/>
  <c r="G17" i="3"/>
  <c r="B17" i="3"/>
  <c r="I16" i="3"/>
  <c r="B25" i="3" s="1"/>
  <c r="D25" i="3" s="1"/>
  <c r="D16" i="3"/>
  <c r="C17" i="3" s="1"/>
  <c r="G12" i="3"/>
  <c r="B12" i="3"/>
  <c r="H9" i="3"/>
  <c r="G9" i="3"/>
  <c r="B9" i="3"/>
  <c r="I8" i="3"/>
  <c r="I9" i="3" s="1"/>
  <c r="H8" i="3"/>
  <c r="C8" i="3"/>
  <c r="C9" i="3" s="1"/>
  <c r="L9" i="3" s="1"/>
  <c r="B3" i="3"/>
  <c r="I14" i="3" s="1"/>
  <c r="I15" i="3" s="1"/>
  <c r="H27" i="2"/>
  <c r="B24" i="2"/>
  <c r="D24" i="2" s="1"/>
  <c r="I21" i="2"/>
  <c r="H19" i="2" s="1"/>
  <c r="I19" i="2" s="1"/>
  <c r="G21" i="2"/>
  <c r="D21" i="2"/>
  <c r="B26" i="2" s="1"/>
  <c r="D26" i="2" s="1"/>
  <c r="B21" i="2"/>
  <c r="I15" i="2"/>
  <c r="B25" i="2" s="1"/>
  <c r="G15" i="2"/>
  <c r="D15" i="2"/>
  <c r="B15" i="2"/>
  <c r="C13" i="2"/>
  <c r="G9" i="2"/>
  <c r="B9" i="2"/>
  <c r="H8" i="2"/>
  <c r="I8" i="2" s="1"/>
  <c r="I9" i="2" s="1"/>
  <c r="D8" i="2"/>
  <c r="D9" i="2" s="1"/>
  <c r="M9" i="2" s="1"/>
  <c r="C8" i="2"/>
  <c r="C9" i="2" s="1"/>
  <c r="B3" i="2"/>
  <c r="H23" i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G8" i="1"/>
  <c r="B8" i="1"/>
  <c r="H7" i="1"/>
  <c r="I7" i="1" s="1"/>
  <c r="I8" i="1" s="1"/>
  <c r="C7" i="1"/>
  <c r="C8" i="1" s="1"/>
  <c r="C14" i="4" l="1"/>
  <c r="C15" i="4" s="1"/>
  <c r="C22" i="4"/>
  <c r="L22" i="4" s="1"/>
  <c r="I21" i="4"/>
  <c r="I22" i="4" s="1"/>
  <c r="M22" i="4" s="1"/>
  <c r="D14" i="4"/>
  <c r="D15" i="4" s="1"/>
  <c r="M15" i="4" s="1"/>
  <c r="H15" i="4"/>
  <c r="L15" i="4" s="1"/>
  <c r="H8" i="4"/>
  <c r="L8" i="4" s="1"/>
  <c r="D8" i="4"/>
  <c r="M8" i="4" s="1"/>
  <c r="D7" i="1"/>
  <c r="D8" i="1" s="1"/>
  <c r="M8" i="1" s="1"/>
  <c r="D18" i="1"/>
  <c r="D17" i="3"/>
  <c r="L9" i="2"/>
  <c r="D25" i="2"/>
  <c r="B28" i="2" s="1"/>
  <c r="L15" i="2"/>
  <c r="C19" i="2"/>
  <c r="D19" i="2" s="1"/>
  <c r="B27" i="2"/>
  <c r="D27" i="2" s="1"/>
  <c r="C18" i="1"/>
  <c r="H17" i="3"/>
  <c r="I17" i="3" s="1"/>
  <c r="H9" i="2"/>
  <c r="H8" i="1"/>
  <c r="L8" i="1" s="1"/>
  <c r="D13" i="3"/>
  <c r="I13" i="3"/>
  <c r="B24" i="3"/>
  <c r="D24" i="3" s="1"/>
  <c r="D13" i="2"/>
  <c r="D14" i="3"/>
  <c r="D15" i="3" s="1"/>
  <c r="H13" i="2"/>
  <c r="I13" i="2" s="1"/>
  <c r="D8" i="3"/>
  <c r="D9" i="3" s="1"/>
  <c r="M9" i="3" s="1"/>
  <c r="M18" i="1" l="1"/>
  <c r="G25" i="1"/>
  <c r="H25" i="1" s="1"/>
  <c r="I25" i="1" s="1"/>
  <c r="M17" i="3"/>
  <c r="M23" i="3" s="1"/>
  <c r="L17" i="3"/>
  <c r="L23" i="3" s="1"/>
  <c r="D28" i="2"/>
  <c r="G28" i="2" s="1"/>
  <c r="D26" i="3"/>
  <c r="B26" i="3"/>
  <c r="G28" i="3" s="1"/>
  <c r="L18" i="1"/>
  <c r="L21" i="2"/>
  <c r="M15" i="2"/>
  <c r="M21" i="2" s="1"/>
</calcChain>
</file>

<file path=xl/sharedStrings.xml><?xml version="1.0" encoding="utf-8"?>
<sst xmlns="http://schemas.openxmlformats.org/spreadsheetml/2006/main" count="307" uniqueCount="142">
  <si>
    <t>a/b [Gy]</t>
  </si>
  <si>
    <t>Department of Radiotherapy and Radiobiology,  Medical University of Vienna</t>
  </si>
  <si>
    <t>Neither the authors nor anybody else can accept any legal responsibility or liability for any errors or omissions that may be made.</t>
  </si>
  <si>
    <t>EBT 1</t>
  </si>
  <si>
    <t>BED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</si>
  <si>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</si>
  <si>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t>EBT 2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</si>
  <si>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</si>
  <si>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t>TOTAL  EBT</t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</si>
  <si>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</si>
  <si>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[Gy]</t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</si>
  <si>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</si>
  <si>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number of fractions n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</si>
  <si>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</si>
  <si>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t>dose / fraction d [Gy]</t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</si>
  <si>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</si>
  <si>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TOTAL</t>
  </si>
  <si>
    <t>EBT 1+2</t>
  </si>
  <si>
    <t>HDR</t>
  </si>
  <si>
    <t>D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</si>
  <si>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</si>
  <si>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</si>
  <si>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r>
      <rPr>
        <sz val="10"/>
        <color theme="1"/>
        <rFont val="Arial"/>
      </rPr>
      <t>dose fraction 1  D</t>
    </r>
    <r>
      <rPr>
        <vertAlign val="subscript"/>
        <sz val="10"/>
        <color theme="1"/>
        <rFont val="Arial"/>
      </rPr>
      <t>1</t>
    </r>
  </si>
  <si>
    <r>
      <rPr>
        <sz val="10"/>
        <color theme="1"/>
        <rFont val="Arial"/>
      </rPr>
      <t>dose fraction 2  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</si>
  <si>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dose fraction 3  D</t>
    </r>
    <r>
      <rPr>
        <vertAlign val="subscript"/>
        <sz val="10"/>
        <color theme="1"/>
        <rFont val="Arial"/>
      </rPr>
      <t>3</t>
    </r>
  </si>
  <si>
    <t>TOTAL  EBT + HDR</t>
  </si>
  <si>
    <r>
      <rPr>
        <sz val="10"/>
        <color theme="1"/>
        <rFont val="Arial"/>
      </rPr>
      <t>dose fraction 4  D</t>
    </r>
    <r>
      <rPr>
        <vertAlign val="subscript"/>
        <sz val="10"/>
        <color theme="1"/>
        <rFont val="Arial"/>
      </rPr>
      <t>4</t>
    </r>
  </si>
  <si>
    <r>
      <rPr>
        <sz val="10"/>
        <color theme="1"/>
        <rFont val="Arial"/>
      </rPr>
      <t>dose fraction 5  D</t>
    </r>
    <r>
      <rPr>
        <vertAlign val="subscript"/>
        <sz val="10"/>
        <color theme="1"/>
        <rFont val="Arial"/>
      </rPr>
      <t>5</t>
    </r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</si>
  <si>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</si>
  <si>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dose fraction 6  D</t>
    </r>
    <r>
      <rPr>
        <vertAlign val="subscript"/>
        <sz val="10"/>
        <color theme="1"/>
        <rFont val="Arial"/>
      </rPr>
      <t>6</t>
    </r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</si>
  <si>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</si>
  <si>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EBT + HDR</t>
  </si>
  <si>
    <t>difference dose</t>
  </si>
  <si>
    <r>
      <rPr>
        <sz val="10"/>
        <color theme="1"/>
        <rFont val="Arial"/>
      </rPr>
      <t>EQD</t>
    </r>
    <r>
      <rPr>
        <vertAlign val="subscript"/>
        <sz val="10"/>
        <color theme="1"/>
        <rFont val="Arial"/>
      </rPr>
      <t>2</t>
    </r>
  </si>
  <si>
    <r>
      <rPr>
        <sz val="10"/>
        <color theme="1"/>
        <rFont val="Arial"/>
      </rPr>
      <t>[Gy</t>
    </r>
    <r>
      <rPr>
        <vertAlign val="subscript"/>
        <sz val="10"/>
        <color theme="1"/>
        <rFont val="Symbol"/>
      </rPr>
      <t>a/b</t>
    </r>
    <r>
      <rPr>
        <sz val="10"/>
        <color theme="1"/>
        <rFont val="Arial"/>
      </rPr>
      <t>]</t>
    </r>
  </si>
  <si>
    <t>reference dose</t>
  </si>
  <si>
    <t>number of fractions left</t>
  </si>
  <si>
    <t>dose / fraction  HDR</t>
  </si>
  <si>
    <r>
      <rPr>
        <b/>
        <sz val="12"/>
        <color rgb="FF000000"/>
        <rFont val="Noto Sans Symbols"/>
      </rPr>
      <t xml:space="preserve">a/b </t>
    </r>
    <r>
      <rPr>
        <b/>
        <sz val="12"/>
        <color rgb="FF000000"/>
        <rFont val="Arial"/>
      </rPr>
      <t>[Gy]</t>
    </r>
  </si>
  <si>
    <r>
      <rPr>
        <b/>
        <sz val="12"/>
        <color rgb="FF000000"/>
        <rFont val="Arial"/>
      </rPr>
      <t>T</t>
    </r>
    <r>
      <rPr>
        <b/>
        <vertAlign val="subscript"/>
        <sz val="12"/>
        <color rgb="FF000000"/>
        <rFont val="Arial"/>
      </rPr>
      <t>1/2</t>
    </r>
    <r>
      <rPr>
        <b/>
        <sz val="12"/>
        <color rgb="FF000000"/>
        <rFont val="Arial"/>
      </rPr>
      <t xml:space="preserve"> [h]</t>
    </r>
  </si>
  <si>
    <r>
      <rPr>
        <b/>
        <sz val="12"/>
        <color rgb="FF000000"/>
        <rFont val="Noto Sans Symbols"/>
      </rPr>
      <t>m</t>
    </r>
    <r>
      <rPr>
        <b/>
        <sz val="12"/>
        <color rgb="FF000000"/>
        <rFont val="Arial"/>
      </rPr>
      <t xml:space="preserve"> [1/h]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</si>
  <si>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</si>
  <si>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</si>
  <si>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</si>
  <si>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</si>
  <si>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</si>
  <si>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</si>
  <si>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LDR 1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</si>
  <si>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</si>
  <si>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LDR 2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</si>
  <si>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</si>
  <si>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TOTAL  LDR</t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</si>
  <si>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</si>
  <si>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</si>
  <si>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</si>
  <si>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</si>
  <si>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</si>
  <si>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</si>
  <si>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</si>
  <si>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</si>
  <si>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dose rate [Gy/h]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</si>
  <si>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</si>
  <si>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</si>
  <si>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LDR 1-4</t>
  </si>
  <si>
    <t>LDR 3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</si>
  <si>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</si>
  <si>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LDR 4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</si>
  <si>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</si>
  <si>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TOTAL  EBT + LDR</t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</si>
  <si>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</si>
  <si>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</si>
  <si>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3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</si>
  <si>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4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</si>
  <si>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</si>
  <si>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3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</si>
  <si>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fraction time t</t>
    </r>
    <r>
      <rPr>
        <vertAlign val="subscript"/>
        <sz val="10"/>
        <color rgb="FF000000"/>
        <rFont val="Arial"/>
      </rPr>
      <t>4</t>
    </r>
    <r>
      <rPr>
        <sz val="10"/>
        <color rgb="FF000000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</si>
  <si>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</si>
  <si>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3</t>
    </r>
    <r>
      <rPr>
        <sz val="10"/>
        <color rgb="FFFFFFFF"/>
        <rFont val="Arial"/>
      </rPr>
      <t xml:space="preserve"> [1]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</si>
  <si>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4</t>
    </r>
    <r>
      <rPr>
        <sz val="10"/>
        <color rgb="FFFFFFFF"/>
        <rFont val="Arial"/>
      </rPr>
      <t xml:space="preserve"> [1]</t>
    </r>
  </si>
  <si>
    <t>EBT + LDR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</si>
  <si>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</si>
  <si>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t>sum 1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</si>
  <si>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</si>
  <si>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</si>
  <si>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sum 2</t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</si>
  <si>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</si>
  <si>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3</t>
    </r>
    <r>
      <rPr>
        <sz val="10"/>
        <color rgb="FFFFFFFF"/>
        <rFont val="Arial"/>
      </rPr>
      <t xml:space="preserve"> [1]</t>
    </r>
  </si>
  <si>
    <t>sum 3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</si>
  <si>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4</t>
    </r>
    <r>
      <rPr>
        <sz val="10"/>
        <color rgb="FFFFFFFF"/>
        <rFont val="Arial"/>
      </rPr>
      <t xml:space="preserve"> [1]</t>
    </r>
  </si>
  <si>
    <t>sum 4</t>
  </si>
  <si>
    <t>p [1]</t>
  </si>
  <si>
    <t>q [1]</t>
  </si>
  <si>
    <t>dose / fraction  LDR</t>
  </si>
  <si>
    <r>
      <rPr>
        <b/>
        <sz val="12"/>
        <color rgb="FF000000"/>
        <rFont val="Noto Sans Symbols"/>
      </rPr>
      <t xml:space="preserve">a/b </t>
    </r>
    <r>
      <rPr>
        <b/>
        <sz val="12"/>
        <color rgb="FF000000"/>
        <rFont val="Arial"/>
      </rPr>
      <t>[Gy]</t>
    </r>
  </si>
  <si>
    <r>
      <rPr>
        <b/>
        <sz val="12"/>
        <color rgb="FF000000"/>
        <rFont val="Arial"/>
      </rPr>
      <t>T</t>
    </r>
    <r>
      <rPr>
        <b/>
        <vertAlign val="subscript"/>
        <sz val="12"/>
        <color rgb="FF000000"/>
        <rFont val="Arial"/>
      </rPr>
      <t>1/2</t>
    </r>
    <r>
      <rPr>
        <b/>
        <sz val="12"/>
        <color rgb="FF000000"/>
        <rFont val="Arial"/>
      </rPr>
      <t xml:space="preserve"> [h]</t>
    </r>
  </si>
  <si>
    <r>
      <rPr>
        <b/>
        <sz val="12"/>
        <color rgb="FF000000"/>
        <rFont val="Noto Sans Symbols"/>
      </rPr>
      <t>m</t>
    </r>
    <r>
      <rPr>
        <b/>
        <sz val="12"/>
        <color rgb="FF000000"/>
        <rFont val="Arial"/>
      </rPr>
      <t xml:space="preserve"> [1/h]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</si>
  <si>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</si>
  <si>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</si>
  <si>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</si>
  <si>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</si>
  <si>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</si>
  <si>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</si>
  <si>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PDR 1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</si>
  <si>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</si>
  <si>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t>PDR 2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</si>
  <si>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</si>
  <si>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x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</si>
  <si>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</si>
  <si>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FFFFFF"/>
        <rFont val="Arial"/>
      </rPr>
      <t>x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[h]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</si>
  <si>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</si>
  <si>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[Gy]</t>
    </r>
  </si>
  <si>
    <r>
      <rPr>
        <sz val="10"/>
        <color rgb="FFFFFFFF"/>
        <rFont val="Arial"/>
      </rPr>
      <t>Y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</si>
  <si>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[Gy]</t>
    </r>
  </si>
  <si>
    <r>
      <rPr>
        <sz val="10"/>
        <color rgb="FFFFFFFF"/>
        <rFont val="Arial"/>
      </rPr>
      <t>Y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</si>
  <si>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TOTAL  PDR</t>
  </si>
  <si>
    <r>
      <rPr>
        <sz val="10"/>
        <color rgb="FF000000"/>
        <rFont val="Arial"/>
      </rPr>
      <t>number of pulses N</t>
    </r>
    <r>
      <rPr>
        <vertAlign val="subscript"/>
        <sz val="10"/>
        <color rgb="FF000000"/>
        <rFont val="Arial"/>
      </rPr>
      <t>1</t>
    </r>
  </si>
  <si>
    <r>
      <rPr>
        <sz val="10"/>
        <color rgb="FFFFFFFF"/>
        <rFont val="Arial"/>
      </rPr>
      <t>K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</si>
  <si>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number of pulses N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</si>
  <si>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K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</si>
  <si>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t>pulse interval [h]</t>
  </si>
  <si>
    <r>
      <rPr>
        <sz val="10"/>
        <color rgb="FFFFFFFF"/>
        <rFont val="Arial"/>
      </rPr>
      <t>S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</si>
  <si>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FFFFFF"/>
        <rFont val="Arial"/>
      </rPr>
      <t>S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</si>
  <si>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</si>
  <si>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pulse time t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[h]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</si>
  <si>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</si>
  <si>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pulse time t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[h]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</si>
  <si>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</si>
  <si>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</si>
  <si>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x N</t>
    </r>
    <r>
      <rPr>
        <vertAlign val="subscript"/>
        <sz val="10"/>
        <color rgb="FF000000"/>
        <rFont val="Arial"/>
      </rPr>
      <t>1</t>
    </r>
    <r>
      <rPr>
        <sz val="10"/>
        <color rgb="FF000000"/>
        <rFont val="Arial"/>
      </rPr>
      <t xml:space="preserve"> [Gy]</t>
    </r>
  </si>
  <si>
    <r>
      <rPr>
        <sz val="10"/>
        <color rgb="FF000000"/>
        <rFont val="Arial"/>
      </rPr>
      <t>dose D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x N</t>
    </r>
    <r>
      <rPr>
        <vertAlign val="subscript"/>
        <sz val="10"/>
        <color rgb="FF000000"/>
        <rFont val="Arial"/>
      </rPr>
      <t>2</t>
    </r>
    <r>
      <rPr>
        <sz val="10"/>
        <color rgb="FF000000"/>
        <rFont val="Arial"/>
      </rPr>
      <t xml:space="preserve"> [Gy]</t>
    </r>
  </si>
  <si>
    <t>PDR 1+2</t>
  </si>
  <si>
    <t>TOTAL  EBT + PDR</t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</si>
  <si>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</si>
  <si>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</si>
  <si>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EBT + PDR</t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</si>
  <si>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1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</si>
  <si>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EQD</t>
    </r>
    <r>
      <rPr>
        <vertAlign val="subscript"/>
        <sz val="10"/>
        <color rgb="FF000000"/>
        <rFont val="Arial"/>
      </rPr>
      <t>2</t>
    </r>
  </si>
  <si>
    <r>
      <rPr>
        <sz val="10"/>
        <color rgb="FFFFFFFF"/>
        <rFont val="Arial"/>
      </rPr>
      <t>G</t>
    </r>
    <r>
      <rPr>
        <vertAlign val="subscript"/>
        <sz val="10"/>
        <color rgb="FFFFFFFF"/>
        <rFont val="Arial"/>
      </rPr>
      <t>2</t>
    </r>
    <r>
      <rPr>
        <sz val="10"/>
        <color rgb="FFFFFFFF"/>
        <rFont val="Arial"/>
      </rPr>
      <t xml:space="preserve"> [1]</t>
    </r>
  </si>
  <si>
    <r>
      <rPr>
        <sz val="10"/>
        <color rgb="FF000000"/>
        <rFont val="Arial"/>
      </rPr>
      <t>[Gy</t>
    </r>
    <r>
      <rPr>
        <vertAlign val="subscript"/>
        <sz val="10"/>
        <color rgb="FF000000"/>
        <rFont val="Symbol"/>
      </rPr>
      <t>a/b</t>
    </r>
    <r>
      <rPr>
        <sz val="10"/>
        <color rgb="FF000000"/>
        <rFont val="Arial"/>
      </rPr>
      <t>]</t>
    </r>
  </si>
  <si>
    <t>dose / pulse  PDR</t>
  </si>
  <si>
    <t>total dose</t>
  </si>
  <si>
    <t>auto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</si>
</sst>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"/>
  </numFmts>
  <fonts count="17">
    <font>
      <sz val="10"/>
      <color rgb="FF000000"/>
      <name val="Calibri"/>
      <scheme val="minor"/>
    </font>
    <font>
      <b/>
      <sz val="12"/>
      <color theme="1"/>
      <name val="Noto Sans Symbols"/>
    </font>
    <font>
      <b/>
      <sz val="12"/>
      <color theme="1"/>
      <name val="Arial"/>
    </font>
    <font>
      <sz val="10"/>
      <color theme="1"/>
      <name val="Arial"/>
    </font>
    <font>
      <sz val="10"/>
      <color rgb="FF000000"/>
      <name val="Arial"/>
    </font>
    <font>
      <sz val="8"/>
      <color theme="1"/>
      <name val="Arial"/>
    </font>
    <font>
      <b/>
      <sz val="10"/>
      <color theme="1"/>
      <name val="Arial"/>
    </font>
    <font>
      <b/>
      <sz val="12"/>
      <color rgb="FF000000"/>
      <name val="Noto Sans Symbols"/>
    </font>
    <font>
      <b/>
      <sz val="12"/>
      <color rgb="FF000000"/>
      <name val="Arial"/>
    </font>
    <font>
      <b/>
      <sz val="10"/>
      <color rgb="FF000000"/>
      <name val="Arial"/>
    </font>
    <font>
      <sz val="10"/>
      <color rgb="FFFFFFFF"/>
      <name val="Arial"/>
    </font>
    <font>
      <vertAlign val="subscript"/>
      <sz val="10"/>
      <color theme="1"/>
      <name val="Arial"/>
    </font>
    <font>
      <vertAlign val="subscript"/>
      <sz val="10"/>
      <color theme="1"/>
      <name val="Symbol"/>
    </font>
    <font>
      <b/>
      <vertAlign val="subscript"/>
      <sz val="12"/>
      <color rgb="FF000000"/>
      <name val="Arial"/>
    </font>
    <font>
      <vertAlign val="subscript"/>
      <sz val="10"/>
      <color rgb="FF000000"/>
      <name val="Arial"/>
    </font>
    <font>
      <vertAlign val="subscript"/>
      <sz val="10"/>
      <color rgb="FF000000"/>
      <name val="Symbol"/>
    </font>
    <font>
      <vertAlign val="subscript"/>
      <sz val="10"/>
      <color rgb="FFFFFFFF"/>
      <name val="Arial"/>
    </font>
  </fonts>
  <fills count="3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2" fillId="0" borderId="3" xfId="0" applyFont="1" applyBorder="1" applyAlignment="1">
      <alignment horizontal="left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2" fontId="6" fillId="2" borderId="2" xfId="0" applyNumberFormat="1" applyFont="1" applyFill="1" applyBorder="1" applyAlignment="1">
      <alignment horizontal="center"/>
    </xf>
    <xf numFmtId="2" fontId="3" fillId="0" borderId="0" xfId="0" applyNumberFormat="1" applyFont="1" applyAlignment="1">
      <alignment horizontal="center"/>
    </xf>
    <xf numFmtId="2" fontId="3" fillId="0" borderId="7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2" fontId="3" fillId="0" borderId="9" xfId="0" applyNumberFormat="1" applyFont="1" applyBorder="1" applyAlignment="1">
      <alignment horizontal="center"/>
    </xf>
    <xf numFmtId="2" fontId="6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164" fontId="6" fillId="0" borderId="10" xfId="0" applyNumberFormat="1" applyFont="1" applyBorder="1" applyAlignment="1">
      <alignment horizontal="center"/>
    </xf>
    <xf numFmtId="2" fontId="3" fillId="0" borderId="4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2" fillId="0" borderId="6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8" fillId="0" borderId="1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3" xfId="0" applyFont="1" applyBorder="1" applyAlignment="1">
      <alignment horizontal="left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6" xfId="0" applyFont="1" applyBorder="1" applyAlignment="1">
      <alignment horizontal="left"/>
    </xf>
    <xf numFmtId="0" fontId="9" fillId="2" borderId="2" xfId="0" applyFont="1" applyFill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164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4" fillId="0" borderId="9" xfId="0" applyNumberFormat="1" applyFont="1" applyBorder="1" applyAlignment="1">
      <alignment horizontal="center"/>
    </xf>
    <xf numFmtId="164" fontId="9" fillId="0" borderId="1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64" fontId="9" fillId="0" borderId="7" xfId="0" applyNumberFormat="1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2" fontId="4" fillId="0" borderId="9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8" fillId="0" borderId="6" xfId="0" applyFont="1" applyBorder="1" applyAlignment="1">
      <alignment horizontal="left"/>
    </xf>
    <xf numFmtId="0" fontId="9" fillId="0" borderId="8" xfId="0" applyFont="1" applyBorder="1" applyAlignment="1">
      <alignment horizontal="left"/>
    </xf>
    <xf numFmtId="2" fontId="9" fillId="0" borderId="9" xfId="0" applyNumberFormat="1" applyFont="1" applyBorder="1" applyAlignment="1">
      <alignment horizontal="center"/>
    </xf>
    <xf numFmtId="2" fontId="9" fillId="0" borderId="10" xfId="0" applyNumberFormat="1" applyFont="1" applyBorder="1" applyAlignment="1">
      <alignment horizontal="center"/>
    </xf>
    <xf numFmtId="0" fontId="4" fillId="0" borderId="0" xfId="0" applyFont="1" applyAlignment="1">
      <alignment horizontal="right"/>
    </xf>
    <xf numFmtId="0" fontId="7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166" fontId="4" fillId="0" borderId="9" xfId="0" applyNumberFormat="1" applyFont="1" applyBorder="1" applyAlignment="1">
      <alignment horizontal="center"/>
    </xf>
    <xf numFmtId="166" fontId="9" fillId="0" borderId="10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D9FA6-E67C-4227-98BF-EF2CFF27A331}">
  <sheetPr codeName="Sheet4"/>
  <dimension ref="A1:M984"/>
  <sheetViews>
    <sheetView tabSelected="1" workbookViewId="0">
      <selection activeCell="D18" sqref="D18"/>
    </sheetView>
  </sheetViews>
  <sheetFormatPr defaultColWidth="14.44140625" defaultRowHeight="15" customHeight="1"/>
  <cols>
    <col min="1" max="1" width="20.6640625" customWidth="1"/>
    <col min="2" max="2" width="7.33203125" customWidth="1"/>
    <col min="3" max="3" width="17.6640625" customWidth="1"/>
    <col min="4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13" ht="15.6">
      <c r="A1" s="1" t="s">
        <v>0</v>
      </c>
      <c r="B1" s="2">
        <v>5</v>
      </c>
      <c r="C1" s="3" t="s">
        <v>141</v>
      </c>
      <c r="D1" s="4" t="s">
        <v>1</v>
      </c>
      <c r="E1" s="3"/>
      <c r="H1" s="3"/>
      <c r="I1" s="3"/>
      <c r="J1" s="3"/>
      <c r="K1" s="5"/>
      <c r="L1" s="3"/>
      <c r="M1" s="3"/>
    </row>
    <row r="2" spans="1:13" ht="13.8">
      <c r="A2" s="3"/>
      <c r="B2" s="3"/>
      <c r="C2" s="3"/>
      <c r="D2" s="6" t="s">
        <v>2</v>
      </c>
      <c r="G2" s="3"/>
      <c r="H2" s="3"/>
      <c r="I2" s="3"/>
      <c r="J2" s="3"/>
      <c r="K2" s="5"/>
      <c r="L2" s="3"/>
      <c r="M2" s="3"/>
    </row>
    <row r="3" spans="1:13" ht="13.8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ht="16.2">
      <c r="A4" s="7" t="s">
        <v>3</v>
      </c>
      <c r="B4" s="8"/>
      <c r="C4" s="8" t="s">
        <v>4</v>
      </c>
      <c r="D4" s="9" t="s">
        <v>5</v>
      </c>
      <c r="E4" s="3"/>
      <c r="F4" s="7" t="s">
        <v>6</v>
      </c>
      <c r="G4" s="8"/>
      <c r="H4" s="8" t="s">
        <v>4</v>
      </c>
      <c r="I4" s="9" t="s">
        <v>5</v>
      </c>
      <c r="J4" s="3"/>
      <c r="K4" s="7" t="s">
        <v>8</v>
      </c>
      <c r="L4" s="8"/>
      <c r="M4" s="9"/>
    </row>
    <row r="5" spans="1:13" ht="14.4">
      <c r="A5" s="10"/>
      <c r="B5" s="3"/>
      <c r="C5" s="3" t="s">
        <v>9</v>
      </c>
      <c r="D5" s="11" t="s">
        <v>10</v>
      </c>
      <c r="E5" s="3"/>
      <c r="F5" s="12"/>
      <c r="G5" s="3"/>
      <c r="H5" s="3" t="s">
        <v>9</v>
      </c>
      <c r="I5" s="11" t="s">
        <v>10</v>
      </c>
      <c r="J5" s="3"/>
      <c r="K5" s="10"/>
      <c r="L5" s="3"/>
      <c r="M5" s="11"/>
    </row>
    <row r="6" spans="1:13" ht="15.6">
      <c r="A6" s="13" t="s">
        <v>12</v>
      </c>
      <c r="B6" s="14">
        <v>25</v>
      </c>
      <c r="C6" s="3"/>
      <c r="D6" s="11"/>
      <c r="E6" s="3"/>
      <c r="F6" s="13" t="s">
        <v>12</v>
      </c>
      <c r="G6" s="14">
        <v>5</v>
      </c>
      <c r="H6" s="3"/>
      <c r="I6" s="11"/>
      <c r="J6" s="3"/>
      <c r="K6" s="10"/>
      <c r="L6" s="3" t="s">
        <v>4</v>
      </c>
      <c r="M6" s="11" t="s">
        <v>5</v>
      </c>
    </row>
    <row r="7" spans="1:13" ht="14.4">
      <c r="A7" s="13" t="s">
        <v>14</v>
      </c>
      <c r="B7" s="15">
        <v>3</v>
      </c>
      <c r="C7" s="16">
        <f>B7*(1+B7/B1)</f>
        <v>4.8000000000000007</v>
      </c>
      <c r="D7" s="17">
        <f>C7/(1+2/B1)</f>
        <v>3.4285714285714293</v>
      </c>
      <c r="E7" s="3"/>
      <c r="F7" s="13" t="s">
        <v>14</v>
      </c>
      <c r="G7" s="14">
        <v>5.5</v>
      </c>
      <c r="H7" s="18">
        <f>G7*(1+G7/B1)</f>
        <v>11.55</v>
      </c>
      <c r="I7" s="19">
        <f>H7/(1+2/B1)</f>
        <v>8.2500000000000018</v>
      </c>
      <c r="J7" s="3"/>
      <c r="K7" s="12"/>
      <c r="L7" s="3" t="s">
        <v>9</v>
      </c>
      <c r="M7" s="11" t="s">
        <v>10</v>
      </c>
    </row>
    <row r="8" spans="1:13" ht="13.8">
      <c r="A8" s="20" t="s">
        <v>16</v>
      </c>
      <c r="B8" s="21">
        <f>B6*B7</f>
        <v>75</v>
      </c>
      <c r="C8" s="21">
        <f>B6*C7</f>
        <v>120.00000000000001</v>
      </c>
      <c r="D8" s="22">
        <f>B6*D7</f>
        <v>85.714285714285737</v>
      </c>
      <c r="E8" s="3"/>
      <c r="F8" s="20" t="s">
        <v>16</v>
      </c>
      <c r="G8" s="23">
        <f>G6*G7</f>
        <v>27.5</v>
      </c>
      <c r="H8" s="23">
        <f>G6*H7</f>
        <v>57.75</v>
      </c>
      <c r="I8" s="24">
        <f>G6*I7</f>
        <v>41.250000000000007</v>
      </c>
      <c r="J8" s="3"/>
      <c r="K8" s="20" t="s">
        <v>17</v>
      </c>
      <c r="L8" s="23">
        <f t="shared" ref="L8:M8" si="0">C8+H8</f>
        <v>177.75</v>
      </c>
      <c r="M8" s="24">
        <f t="shared" si="0"/>
        <v>126.96428571428575</v>
      </c>
    </row>
    <row r="9" spans="1:13" ht="13.8">
      <c r="A9" s="3"/>
      <c r="B9" s="16"/>
      <c r="C9" s="16"/>
      <c r="D9" s="16"/>
      <c r="E9" s="3"/>
      <c r="F9" s="3"/>
      <c r="G9" s="3"/>
      <c r="H9" s="3"/>
      <c r="I9" s="3"/>
      <c r="J9" s="3"/>
      <c r="K9" s="3"/>
      <c r="L9" s="3"/>
      <c r="M9" s="3"/>
    </row>
    <row r="10" spans="1:13" ht="15.75" customHeight="1">
      <c r="E10" s="3"/>
      <c r="F10" s="3"/>
      <c r="G10" s="3"/>
      <c r="H10" s="3"/>
      <c r="I10" s="3"/>
      <c r="J10" s="3"/>
      <c r="K10" s="3"/>
      <c r="L10" s="3"/>
      <c r="M10" s="3"/>
    </row>
    <row r="11" spans="1:13" ht="15.75" customHeight="1">
      <c r="A11" s="7" t="s">
        <v>3</v>
      </c>
      <c r="B11" s="8"/>
      <c r="C11" s="8" t="s">
        <v>4</v>
      </c>
      <c r="D11" s="9" t="s">
        <v>5</v>
      </c>
      <c r="E11" s="3"/>
      <c r="F11" s="7" t="s">
        <v>6</v>
      </c>
      <c r="G11" s="8"/>
      <c r="H11" s="8" t="s">
        <v>4</v>
      </c>
      <c r="I11" s="9" t="s">
        <v>5</v>
      </c>
      <c r="J11" s="3"/>
      <c r="K11" s="7" t="s">
        <v>8</v>
      </c>
      <c r="L11" s="8"/>
      <c r="M11" s="9"/>
    </row>
    <row r="12" spans="1:13" ht="15.75" customHeight="1">
      <c r="A12" s="10"/>
      <c r="B12" s="3"/>
      <c r="C12" s="3" t="s">
        <v>9</v>
      </c>
      <c r="D12" s="11" t="s">
        <v>10</v>
      </c>
      <c r="E12" s="3"/>
      <c r="F12" s="12"/>
      <c r="G12" s="3"/>
      <c r="H12" s="3" t="s">
        <v>9</v>
      </c>
      <c r="I12" s="11" t="s">
        <v>10</v>
      </c>
      <c r="J12" s="3"/>
      <c r="K12" s="10"/>
      <c r="L12" s="3"/>
      <c r="M12" s="11"/>
    </row>
    <row r="13" spans="1:13" ht="15.75" customHeight="1">
      <c r="A13" s="13" t="s">
        <v>12</v>
      </c>
      <c r="B13" s="14">
        <v>25</v>
      </c>
      <c r="C13" s="3"/>
      <c r="D13" s="11"/>
      <c r="E13" s="3"/>
      <c r="F13" s="13" t="s">
        <v>12</v>
      </c>
      <c r="G13" s="14">
        <v>5</v>
      </c>
      <c r="H13" s="3"/>
      <c r="I13" s="11"/>
      <c r="J13" s="3"/>
      <c r="K13" s="10"/>
      <c r="L13" s="3" t="s">
        <v>4</v>
      </c>
      <c r="M13" s="11" t="s">
        <v>5</v>
      </c>
    </row>
    <row r="14" spans="1:13" ht="15.75" customHeight="1">
      <c r="A14" s="13" t="s">
        <v>14</v>
      </c>
      <c r="B14" s="15">
        <v>2</v>
      </c>
      <c r="C14" s="16">
        <f>B14*(1+B14/B8)</f>
        <v>2.0533333333333332</v>
      </c>
      <c r="D14" s="17">
        <f>C14/(1+2/B8)</f>
        <v>2</v>
      </c>
      <c r="E14" s="3"/>
      <c r="F14" s="13" t="s">
        <v>14</v>
      </c>
      <c r="G14" s="14">
        <v>5.5</v>
      </c>
      <c r="H14" s="18">
        <f>G14*(1+G14/B8)</f>
        <v>5.9033333333333324</v>
      </c>
      <c r="I14" s="19">
        <f>H14/(1+2/B8)</f>
        <v>5.7499999999999991</v>
      </c>
      <c r="J14" s="3"/>
      <c r="K14" s="12"/>
      <c r="L14" s="3" t="s">
        <v>9</v>
      </c>
      <c r="M14" s="11" t="s">
        <v>10</v>
      </c>
    </row>
    <row r="15" spans="1:13" ht="15.75" customHeight="1">
      <c r="A15" s="20" t="s">
        <v>16</v>
      </c>
      <c r="B15" s="21">
        <f>B13*B14</f>
        <v>50</v>
      </c>
      <c r="C15" s="21">
        <f>B13*C14</f>
        <v>51.333333333333329</v>
      </c>
      <c r="D15" s="22">
        <f>B13*D14</f>
        <v>50</v>
      </c>
      <c r="E15" s="3"/>
      <c r="F15" s="20" t="s">
        <v>16</v>
      </c>
      <c r="G15" s="23">
        <f>G13*G14</f>
        <v>27.5</v>
      </c>
      <c r="H15" s="23">
        <f>G13*H14</f>
        <v>29.516666666666662</v>
      </c>
      <c r="I15" s="24">
        <f>G13*I14</f>
        <v>28.749999999999996</v>
      </c>
      <c r="J15" s="3"/>
      <c r="K15" s="20" t="s">
        <v>17</v>
      </c>
      <c r="L15" s="23">
        <f t="shared" ref="L15" si="1">C15+H15</f>
        <v>80.849999999999994</v>
      </c>
      <c r="M15" s="24">
        <f t="shared" ref="M15" si="2">D15+I15</f>
        <v>78.75</v>
      </c>
    </row>
    <row r="16" spans="1:13" ht="15.75" customHeight="1"/>
    <row r="17" spans="1:13" ht="15.75" customHeight="1"/>
    <row r="18" spans="1:13" ht="15.75" customHeight="1">
      <c r="A18" s="7" t="s">
        <v>3</v>
      </c>
      <c r="B18" s="8"/>
      <c r="C18" s="8" t="s">
        <v>4</v>
      </c>
      <c r="D18" s="9" t="s">
        <v>5</v>
      </c>
      <c r="E18" s="3"/>
      <c r="F18" s="7" t="s">
        <v>6</v>
      </c>
      <c r="G18" s="8"/>
      <c r="H18" s="8" t="s">
        <v>4</v>
      </c>
      <c r="I18" s="9" t="s">
        <v>5</v>
      </c>
      <c r="J18" s="3"/>
      <c r="K18" s="7" t="s">
        <v>8</v>
      </c>
      <c r="L18" s="8"/>
      <c r="M18" s="9"/>
    </row>
    <row r="19" spans="1:13" ht="15.75" customHeight="1">
      <c r="A19" s="10"/>
      <c r="B19" s="3"/>
      <c r="C19" s="3" t="s">
        <v>9</v>
      </c>
      <c r="D19" s="11" t="s">
        <v>10</v>
      </c>
      <c r="E19" s="3"/>
      <c r="F19" s="12"/>
      <c r="G19" s="3"/>
      <c r="H19" s="3" t="s">
        <v>9</v>
      </c>
      <c r="I19" s="11" t="s">
        <v>10</v>
      </c>
      <c r="J19" s="3"/>
      <c r="K19" s="10"/>
      <c r="L19" s="3"/>
      <c r="M19" s="11"/>
    </row>
    <row r="20" spans="1:13" ht="15.75" customHeight="1">
      <c r="A20" s="13" t="s">
        <v>12</v>
      </c>
      <c r="B20" s="14">
        <v>25</v>
      </c>
      <c r="C20" s="3"/>
      <c r="D20" s="11"/>
      <c r="E20" s="3"/>
      <c r="F20" s="13" t="s">
        <v>12</v>
      </c>
      <c r="G20" s="14">
        <v>5</v>
      </c>
      <c r="H20" s="3"/>
      <c r="I20" s="11"/>
      <c r="J20" s="3"/>
      <c r="K20" s="10"/>
      <c r="L20" s="3" t="s">
        <v>4</v>
      </c>
      <c r="M20" s="11" t="s">
        <v>5</v>
      </c>
    </row>
    <row r="21" spans="1:13" ht="15.75" customHeight="1">
      <c r="A21" s="13" t="s">
        <v>14</v>
      </c>
      <c r="B21" s="15">
        <v>2</v>
      </c>
      <c r="C21" s="16">
        <f>B21*(1+B21/B15)</f>
        <v>2.08</v>
      </c>
      <c r="D21" s="17">
        <f>C21/(1+2/B15)</f>
        <v>2</v>
      </c>
      <c r="E21" s="3"/>
      <c r="F21" s="13" t="s">
        <v>14</v>
      </c>
      <c r="G21" s="14">
        <v>5.5</v>
      </c>
      <c r="H21" s="18">
        <f>G21*(1+G21/B15)</f>
        <v>6.1050000000000004</v>
      </c>
      <c r="I21" s="19">
        <f>H21/(1+2/B15)</f>
        <v>5.8701923076923075</v>
      </c>
      <c r="J21" s="3"/>
      <c r="K21" s="12"/>
      <c r="L21" s="3" t="s">
        <v>9</v>
      </c>
      <c r="M21" s="11" t="s">
        <v>10</v>
      </c>
    </row>
    <row r="22" spans="1:13" ht="15.75" customHeight="1">
      <c r="A22" s="20" t="s">
        <v>16</v>
      </c>
      <c r="B22" s="21">
        <f>B20*B21</f>
        <v>50</v>
      </c>
      <c r="C22" s="21">
        <f>B20*C21</f>
        <v>52</v>
      </c>
      <c r="D22" s="22">
        <f>B20*D21</f>
        <v>50</v>
      </c>
      <c r="E22" s="3"/>
      <c r="F22" s="20" t="s">
        <v>16</v>
      </c>
      <c r="G22" s="23">
        <f>G20*G21</f>
        <v>27.5</v>
      </c>
      <c r="H22" s="23">
        <f>G20*H21</f>
        <v>30.525000000000002</v>
      </c>
      <c r="I22" s="24">
        <f>G20*I21</f>
        <v>29.350961538461537</v>
      </c>
      <c r="J22" s="3"/>
      <c r="K22" s="20" t="s">
        <v>17</v>
      </c>
      <c r="L22" s="23">
        <f t="shared" ref="L22" si="3">C22+H22</f>
        <v>82.525000000000006</v>
      </c>
      <c r="M22" s="24">
        <f t="shared" ref="M22" si="4">D22+I22</f>
        <v>79.350961538461533</v>
      </c>
    </row>
    <row r="23" spans="1:13" ht="15.75" customHeight="1"/>
    <row r="24" spans="1:13" ht="15.75" customHeight="1"/>
    <row r="25" spans="1:13" ht="15.75" customHeight="1"/>
    <row r="26" spans="1:13" ht="15.75" customHeight="1"/>
    <row r="27" spans="1:13" ht="15.75" customHeight="1"/>
    <row r="28" spans="1:13" ht="15.75" customHeight="1"/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00"/>
  <sheetViews>
    <sheetView workbookViewId="0">
      <selection activeCell="F25" sqref="F25"/>
    </sheetView>
  </sheetViews>
  <sheetFormatPr defaultColWidth="14.44140625" defaultRowHeight="15" customHeight="1"/>
  <cols>
    <col min="1" max="1" width="20.6640625" customWidth="1"/>
    <col min="2" max="2" width="7.33203125" customWidth="1"/>
    <col min="3" max="3" width="17.6640625" customWidth="1"/>
    <col min="4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13" ht="15.6">
      <c r="A1" s="1" t="s">
        <v>0</v>
      </c>
      <c r="B1" s="2">
        <v>3</v>
      </c>
      <c r="C1" s="3" t="s">
        <v>140</v>
      </c>
      <c r="D1" s="4" t="s">
        <v>1</v>
      </c>
      <c r="E1" s="3"/>
      <c r="H1" s="3"/>
      <c r="I1" s="3"/>
      <c r="J1" s="3"/>
      <c r="K1" s="5"/>
      <c r="L1" s="3"/>
      <c r="M1" s="3"/>
    </row>
    <row r="2" spans="1:13" ht="13.8">
      <c r="A2" s="3"/>
      <c r="B2" s="3"/>
      <c r="C2" s="3"/>
      <c r="D2" s="6" t="s">
        <v>2</v>
      </c>
      <c r="G2" s="3"/>
      <c r="H2" s="3"/>
      <c r="I2" s="3"/>
      <c r="J2" s="3"/>
      <c r="K2" s="5"/>
      <c r="L2" s="3"/>
      <c r="M2" s="3"/>
    </row>
    <row r="3" spans="1:13" ht="13.8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ht="16.2">
      <c r="A4" s="7" t="s">
        <v>3</v>
      </c>
      <c r="B4" s="8"/>
      <c r="C4" s="8" t="s">
        <v>4</v>
      </c>
      <c r="D4" s="9" t="s">
        <v>5</v>
      </c>
      <c r="E4" s="3"/>
      <c r="F4" s="7" t="s">
        <v>6</v>
      </c>
      <c r="G4" s="8"/>
      <c r="H4" s="8" t="s">
        <v>4</v>
      </c>
      <c r="I4" s="9" t="s">
        <v>7</v>
      </c>
      <c r="J4" s="3"/>
      <c r="K4" s="7" t="s">
        <v>8</v>
      </c>
      <c r="L4" s="8"/>
      <c r="M4" s="9"/>
    </row>
    <row r="5" spans="1:13" ht="14.4">
      <c r="A5" s="10"/>
      <c r="B5" s="3"/>
      <c r="C5" s="3" t="s">
        <v>9</v>
      </c>
      <c r="D5" s="11" t="s">
        <v>10</v>
      </c>
      <c r="E5" s="3"/>
      <c r="F5" s="12"/>
      <c r="G5" s="3"/>
      <c r="H5" s="3" t="s">
        <v>11</v>
      </c>
      <c r="I5" s="11" t="s">
        <v>10</v>
      </c>
      <c r="J5" s="3"/>
      <c r="K5" s="10"/>
      <c r="L5" s="3"/>
      <c r="M5" s="11"/>
    </row>
    <row r="6" spans="1:13" ht="15.6">
      <c r="A6" s="13" t="s">
        <v>12</v>
      </c>
      <c r="B6" s="14">
        <v>25</v>
      </c>
      <c r="C6" s="3"/>
      <c r="D6" s="11"/>
      <c r="E6" s="3"/>
      <c r="F6" s="13" t="s">
        <v>12</v>
      </c>
      <c r="G6" s="14">
        <v>5</v>
      </c>
      <c r="H6" s="3"/>
      <c r="I6" s="11"/>
      <c r="J6" s="3"/>
      <c r="K6" s="10"/>
      <c r="L6" s="3" t="s">
        <v>4</v>
      </c>
      <c r="M6" s="11" t="s">
        <v>13</v>
      </c>
    </row>
    <row r="7" spans="1:13" ht="14.4">
      <c r="A7" s="13" t="s">
        <v>14</v>
      </c>
      <c r="B7" s="15">
        <v>2</v>
      </c>
      <c r="C7" s="16">
        <f>B7*(1+B7/B1)</f>
        <v>3.333333333333333</v>
      </c>
      <c r="D7" s="17">
        <f>C7/(1+2/B1)</f>
        <v>2</v>
      </c>
      <c r="E7" s="3"/>
      <c r="F7" s="13" t="s">
        <v>14</v>
      </c>
      <c r="G7" s="14">
        <v>5.5</v>
      </c>
      <c r="H7" s="18">
        <f>G7*(1+G7/B1)</f>
        <v>15.583333333333332</v>
      </c>
      <c r="I7" s="19">
        <f>H7/(1+2/B1)</f>
        <v>9.35</v>
      </c>
      <c r="J7" s="3"/>
      <c r="K7" s="12"/>
      <c r="L7" s="3" t="s">
        <v>15</v>
      </c>
      <c r="M7" s="11" t="s">
        <v>10</v>
      </c>
    </row>
    <row r="8" spans="1:13" ht="13.8">
      <c r="A8" s="20" t="s">
        <v>16</v>
      </c>
      <c r="B8" s="21">
        <f>B6*B7</f>
        <v>50</v>
      </c>
      <c r="C8" s="21">
        <f>B6*C7</f>
        <v>83.333333333333329</v>
      </c>
      <c r="D8" s="22">
        <f>B6*D7</f>
        <v>50</v>
      </c>
      <c r="E8" s="3"/>
      <c r="F8" s="20" t="s">
        <v>16</v>
      </c>
      <c r="G8" s="23">
        <f>G6*G7</f>
        <v>27.5</v>
      </c>
      <c r="H8" s="23">
        <f>G6*H7</f>
        <v>77.916666666666657</v>
      </c>
      <c r="I8" s="24">
        <f>G6*I7</f>
        <v>46.75</v>
      </c>
      <c r="J8" s="3"/>
      <c r="K8" s="20" t="s">
        <v>17</v>
      </c>
      <c r="L8" s="23">
        <f t="shared" ref="L8:M8" si="0">C8+H8</f>
        <v>161.25</v>
      </c>
      <c r="M8" s="24">
        <f t="shared" si="0"/>
        <v>96.75</v>
      </c>
    </row>
    <row r="9" spans="1:13" ht="13.8">
      <c r="A9" s="3"/>
      <c r="B9" s="16"/>
      <c r="C9" s="16"/>
      <c r="D9" s="16"/>
      <c r="E9" s="3"/>
      <c r="F9" s="3"/>
      <c r="G9" s="3"/>
      <c r="H9" s="3"/>
      <c r="I9" s="3"/>
      <c r="J9" s="3"/>
      <c r="K9" s="3"/>
      <c r="L9" s="3"/>
      <c r="M9" s="3"/>
    </row>
    <row r="10" spans="1:13" ht="16.2">
      <c r="A10" s="7" t="s">
        <v>18</v>
      </c>
      <c r="B10" s="25" t="s">
        <v>19</v>
      </c>
      <c r="C10" s="25" t="s">
        <v>4</v>
      </c>
      <c r="D10" s="26" t="s">
        <v>20</v>
      </c>
      <c r="E10" s="3"/>
      <c r="F10" s="3"/>
      <c r="G10" s="3"/>
      <c r="H10" s="3"/>
      <c r="I10" s="3"/>
      <c r="J10" s="3"/>
      <c r="K10" s="3"/>
      <c r="L10" s="3"/>
      <c r="M10" s="3"/>
    </row>
    <row r="11" spans="1:13" ht="14.4">
      <c r="A11" s="10"/>
      <c r="B11" s="16" t="s">
        <v>10</v>
      </c>
      <c r="C11" s="16" t="s">
        <v>21</v>
      </c>
      <c r="D11" s="17" t="s">
        <v>10</v>
      </c>
      <c r="E11" s="3"/>
      <c r="F11" s="3"/>
      <c r="G11" s="3"/>
      <c r="H11" s="3"/>
      <c r="I11" s="3"/>
      <c r="J11" s="3"/>
      <c r="K11" s="3"/>
      <c r="L11" s="3"/>
      <c r="M11" s="3"/>
    </row>
    <row r="12" spans="1:13" ht="15.6">
      <c r="A12" s="13" t="s">
        <v>22</v>
      </c>
      <c r="B12" s="15"/>
      <c r="C12" s="16">
        <f>B12*(1+B12/B1)</f>
        <v>0</v>
      </c>
      <c r="D12" s="27">
        <f>C12/(1+2/B1)</f>
        <v>0</v>
      </c>
      <c r="E12" s="3"/>
      <c r="F12" s="3"/>
      <c r="G12" s="3"/>
      <c r="H12" s="3"/>
      <c r="I12" s="3"/>
      <c r="J12" s="3"/>
      <c r="K12" s="3"/>
      <c r="L12" s="3"/>
      <c r="M12" s="3"/>
    </row>
    <row r="13" spans="1:13" ht="15.6">
      <c r="A13" s="13" t="s">
        <v>23</v>
      </c>
      <c r="B13" s="15"/>
      <c r="C13" s="16">
        <f>B13*(1+B13/B1)</f>
        <v>0</v>
      </c>
      <c r="D13" s="27">
        <f>C13/(1+2/B1)</f>
        <v>0</v>
      </c>
      <c r="E13" s="3"/>
      <c r="F13" s="3"/>
      <c r="G13" s="3"/>
      <c r="H13" s="3"/>
      <c r="I13" s="3"/>
      <c r="J13" s="3"/>
      <c r="K13" s="3"/>
      <c r="L13" s="3"/>
      <c r="M13" s="3"/>
    </row>
    <row r="14" spans="1:13" ht="16.2">
      <c r="A14" s="13" t="s">
        <v>24</v>
      </c>
      <c r="B14" s="15"/>
      <c r="C14" s="16">
        <f>B14*(1+B14/B1)</f>
        <v>0</v>
      </c>
      <c r="D14" s="27">
        <f>C14/(1+2/B1)</f>
        <v>0</v>
      </c>
      <c r="E14" s="3"/>
      <c r="F14" s="3"/>
      <c r="G14" s="3"/>
      <c r="H14" s="3"/>
      <c r="I14" s="3"/>
      <c r="J14" s="3"/>
      <c r="K14" s="7" t="s">
        <v>25</v>
      </c>
      <c r="L14" s="8"/>
      <c r="M14" s="9"/>
    </row>
    <row r="15" spans="1:13" ht="15.6">
      <c r="A15" s="13" t="s">
        <v>26</v>
      </c>
      <c r="B15" s="15"/>
      <c r="C15" s="16">
        <f>B15*(1+B15/B1)</f>
        <v>0</v>
      </c>
      <c r="D15" s="27">
        <f>C15/(1+2/B1)</f>
        <v>0</v>
      </c>
      <c r="E15" s="3"/>
      <c r="F15" s="3"/>
      <c r="G15" s="3"/>
      <c r="H15" s="3"/>
      <c r="I15" s="3"/>
      <c r="J15" s="3"/>
      <c r="K15" s="10"/>
      <c r="L15" s="3"/>
      <c r="M15" s="11"/>
    </row>
    <row r="16" spans="1:13" ht="15.6">
      <c r="A16" s="13" t="s">
        <v>27</v>
      </c>
      <c r="B16" s="15"/>
      <c r="C16" s="16">
        <f>B16*(1+B16/B1)</f>
        <v>0</v>
      </c>
      <c r="D16" s="27">
        <f>C16/(1+2/B1)</f>
        <v>0</v>
      </c>
      <c r="E16" s="3"/>
      <c r="F16" s="3"/>
      <c r="G16" s="3"/>
      <c r="H16" s="3"/>
      <c r="I16" s="3"/>
      <c r="J16" s="3"/>
      <c r="K16" s="10"/>
      <c r="L16" s="3" t="s">
        <v>4</v>
      </c>
      <c r="M16" s="11" t="s">
        <v>28</v>
      </c>
    </row>
    <row r="17" spans="1:13" ht="15.6">
      <c r="A17" s="13" t="s">
        <v>29</v>
      </c>
      <c r="B17" s="15"/>
      <c r="C17" s="16">
        <f>B17*(1+B17/B1)</f>
        <v>0</v>
      </c>
      <c r="D17" s="27">
        <f>C17/(1+2/B1)</f>
        <v>0</v>
      </c>
      <c r="E17" s="3"/>
      <c r="F17" s="3"/>
      <c r="G17" s="3"/>
      <c r="H17" s="3"/>
      <c r="I17" s="3"/>
      <c r="J17" s="3"/>
      <c r="K17" s="10"/>
      <c r="L17" s="3" t="s">
        <v>30</v>
      </c>
      <c r="M17" s="11" t="s">
        <v>10</v>
      </c>
    </row>
    <row r="18" spans="1:13" ht="13.8">
      <c r="A18" s="20" t="s">
        <v>16</v>
      </c>
      <c r="B18" s="21"/>
      <c r="C18" s="21">
        <f t="shared" ref="C18:D18" si="1">SUM(C12:C17)</f>
        <v>0</v>
      </c>
      <c r="D18" s="22">
        <f t="shared" si="1"/>
        <v>0</v>
      </c>
      <c r="E18" s="3"/>
      <c r="F18" s="3"/>
      <c r="G18" s="3"/>
      <c r="H18" s="3"/>
      <c r="I18" s="3"/>
      <c r="J18" s="3"/>
      <c r="K18" s="20" t="s">
        <v>31</v>
      </c>
      <c r="L18" s="23">
        <f t="shared" ref="L18:M18" si="2">L8+C18</f>
        <v>161.25</v>
      </c>
      <c r="M18" s="24">
        <f t="shared" si="2"/>
        <v>96.75</v>
      </c>
    </row>
    <row r="19" spans="1:13" ht="13.8">
      <c r="A19" s="3"/>
      <c r="B19" s="16"/>
      <c r="C19" s="16"/>
      <c r="D19" s="16"/>
      <c r="E19" s="3"/>
      <c r="F19" s="3"/>
      <c r="G19" s="3"/>
      <c r="H19" s="3"/>
      <c r="I19" s="3"/>
      <c r="J19" s="3"/>
      <c r="K19" s="3"/>
      <c r="L19" s="3"/>
      <c r="M19" s="3"/>
    </row>
    <row r="20" spans="1:13" ht="16.2">
      <c r="E20" s="3"/>
      <c r="F20" s="7" t="s">
        <v>32</v>
      </c>
      <c r="G20" s="8" t="s">
        <v>19</v>
      </c>
      <c r="H20" s="8" t="s">
        <v>4</v>
      </c>
      <c r="I20" s="9" t="s">
        <v>33</v>
      </c>
      <c r="J20" s="3"/>
      <c r="K20" s="3"/>
      <c r="L20" s="3"/>
      <c r="M20" s="3"/>
    </row>
    <row r="21" spans="1:13" ht="15.75" customHeight="1">
      <c r="E21" s="3"/>
      <c r="F21" s="28" t="s">
        <v>31</v>
      </c>
      <c r="G21" s="3" t="s">
        <v>10</v>
      </c>
      <c r="H21" s="3" t="s">
        <v>34</v>
      </c>
      <c r="I21" s="11" t="s">
        <v>10</v>
      </c>
      <c r="J21" s="3"/>
      <c r="K21" s="3"/>
      <c r="L21" s="3"/>
      <c r="M21" s="3"/>
    </row>
    <row r="22" spans="1:13" ht="15.75" customHeight="1">
      <c r="E22" s="3"/>
      <c r="F22" s="10"/>
      <c r="G22" s="3"/>
      <c r="H22" s="3"/>
      <c r="I22" s="11"/>
      <c r="J22" s="3"/>
      <c r="K22" s="3"/>
      <c r="L22" s="3"/>
      <c r="M22" s="3"/>
    </row>
    <row r="23" spans="1:13" ht="15.75" customHeight="1">
      <c r="E23" s="3"/>
      <c r="F23" s="13" t="s">
        <v>35</v>
      </c>
      <c r="G23" s="3"/>
      <c r="H23" s="18">
        <f>I23*(1+2/B1)</f>
        <v>0</v>
      </c>
      <c r="I23" s="14"/>
      <c r="J23" s="3"/>
      <c r="K23" s="3"/>
      <c r="L23" s="3"/>
      <c r="M23" s="3"/>
    </row>
    <row r="24" spans="1:13" ht="15.75" customHeight="1">
      <c r="E24" s="3"/>
      <c r="F24" s="13" t="s">
        <v>36</v>
      </c>
      <c r="G24" s="14"/>
      <c r="H24" s="3"/>
      <c r="I24" s="11"/>
      <c r="J24" s="3"/>
      <c r="K24" s="3"/>
      <c r="L24" s="3"/>
      <c r="M24" s="3"/>
    </row>
    <row r="25" spans="1:13" ht="15.75" customHeight="1">
      <c r="E25" s="3"/>
      <c r="F25" s="29" t="s">
        <v>37</v>
      </c>
      <c r="G25" s="30" t="e">
        <f>-B1/2+SQRT(B1*B1/4+B1/G24*(H23-C18-L8))</f>
        <v>#DIV/0!</v>
      </c>
      <c r="H25" s="21" t="e">
        <f>G25*(1+G25/B1)</f>
        <v>#DIV/0!</v>
      </c>
      <c r="I25" s="22" t="e">
        <f>H25/(1+2/B1)</f>
        <v>#DIV/0!</v>
      </c>
      <c r="J25" s="3"/>
      <c r="K25" s="3"/>
      <c r="L25" s="3"/>
      <c r="M25" s="3"/>
    </row>
    <row r="26" spans="1:13" ht="15.75" customHeight="1">
      <c r="E26" s="3"/>
      <c r="F26" s="3"/>
      <c r="G26" s="3"/>
      <c r="H26" s="3"/>
      <c r="I26" s="3"/>
      <c r="J26" s="3"/>
      <c r="K26" s="3"/>
      <c r="L26" s="3"/>
      <c r="M26" s="3"/>
    </row>
    <row r="27" spans="1:13" ht="15.75" customHeight="1">
      <c r="E27" s="3"/>
      <c r="F27" s="3"/>
      <c r="G27" s="3"/>
      <c r="H27" s="3"/>
      <c r="I27" s="3"/>
      <c r="J27" s="3"/>
      <c r="K27" s="3"/>
      <c r="L27" s="3"/>
      <c r="M27" s="3"/>
    </row>
    <row r="28" spans="1:13" ht="15.75" customHeight="1">
      <c r="E28" s="3"/>
      <c r="F28" s="3"/>
      <c r="G28" s="3"/>
      <c r="H28" s="3"/>
      <c r="I28" s="3"/>
      <c r="J28" s="3"/>
      <c r="K28" s="3"/>
      <c r="L28" s="3"/>
      <c r="M28" s="3"/>
    </row>
    <row r="29" spans="1:13" ht="15.75" customHeight="1"/>
    <row r="30" spans="1:13" ht="15.75" customHeight="1"/>
    <row r="31" spans="1:13" ht="15.75" customHeight="1"/>
    <row r="32" spans="1:1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L21" sqref="L21"/>
    </sheetView>
  </sheetViews>
  <sheetFormatPr defaultColWidth="14.44140625" defaultRowHeight="15" customHeight="1"/>
  <cols>
    <col min="1" max="1" width="20.6640625" customWidth="1"/>
    <col min="2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26" ht="15.6">
      <c r="A1" s="31" t="s">
        <v>38</v>
      </c>
      <c r="B1" s="32">
        <v>10</v>
      </c>
      <c r="C1" s="33"/>
      <c r="D1" s="4" t="s">
        <v>1</v>
      </c>
      <c r="E1" s="33"/>
      <c r="F1" s="4"/>
      <c r="G1" s="4"/>
      <c r="H1" s="33"/>
      <c r="I1" s="33"/>
      <c r="J1" s="33"/>
      <c r="K1" s="34"/>
      <c r="L1" s="33"/>
      <c r="M1" s="33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">
      <c r="A2" s="35" t="s">
        <v>39</v>
      </c>
      <c r="B2" s="32">
        <v>1.5</v>
      </c>
      <c r="C2" s="33"/>
      <c r="D2" s="6" t="s">
        <v>2</v>
      </c>
      <c r="E2" s="33"/>
      <c r="F2" s="4"/>
      <c r="G2" s="4"/>
      <c r="H2" s="33"/>
      <c r="I2" s="33"/>
      <c r="J2" s="33"/>
      <c r="K2" s="34"/>
      <c r="L2" s="33"/>
      <c r="M2" s="33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6">
      <c r="A3" s="36" t="s">
        <v>40</v>
      </c>
      <c r="B3" s="37">
        <f>LN(2)/B2</f>
        <v>0.46209812037329684</v>
      </c>
      <c r="C3" s="33"/>
      <c r="D3" s="33"/>
      <c r="E3" s="33"/>
      <c r="F3" s="4"/>
      <c r="G3" s="4"/>
      <c r="H3" s="33"/>
      <c r="I3" s="33"/>
      <c r="J3" s="33"/>
      <c r="K3" s="33"/>
      <c r="L3" s="33"/>
      <c r="M3" s="33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3.8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6.2">
      <c r="A5" s="38" t="s">
        <v>3</v>
      </c>
      <c r="B5" s="39"/>
      <c r="C5" s="39" t="s">
        <v>4</v>
      </c>
      <c r="D5" s="40" t="s">
        <v>41</v>
      </c>
      <c r="E5" s="33"/>
      <c r="F5" s="38" t="s">
        <v>6</v>
      </c>
      <c r="G5" s="39"/>
      <c r="H5" s="39" t="s">
        <v>4</v>
      </c>
      <c r="I5" s="40" t="s">
        <v>42</v>
      </c>
      <c r="J5" s="33"/>
      <c r="K5" s="38" t="s">
        <v>8</v>
      </c>
      <c r="L5" s="39"/>
      <c r="M5" s="40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>
      <c r="A6" s="41"/>
      <c r="B6" s="33"/>
      <c r="C6" s="33" t="s">
        <v>43</v>
      </c>
      <c r="D6" s="42" t="s">
        <v>10</v>
      </c>
      <c r="E6" s="33"/>
      <c r="F6" s="41"/>
      <c r="G6" s="33"/>
      <c r="H6" s="33" t="s">
        <v>44</v>
      </c>
      <c r="I6" s="42" t="s">
        <v>10</v>
      </c>
      <c r="J6" s="33"/>
      <c r="K6" s="43"/>
      <c r="L6" s="33"/>
      <c r="M6" s="42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6">
      <c r="A7" s="44" t="s">
        <v>12</v>
      </c>
      <c r="B7" s="45"/>
      <c r="C7" s="43"/>
      <c r="D7" s="42"/>
      <c r="E7" s="33"/>
      <c r="F7" s="44" t="s">
        <v>12</v>
      </c>
      <c r="G7" s="45"/>
      <c r="H7" s="33"/>
      <c r="I7" s="42"/>
      <c r="J7" s="33"/>
      <c r="K7" s="43"/>
      <c r="L7" s="33" t="s">
        <v>4</v>
      </c>
      <c r="M7" s="42" t="s">
        <v>45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4.4">
      <c r="A8" s="44" t="s">
        <v>14</v>
      </c>
      <c r="B8" s="45"/>
      <c r="C8" s="46">
        <f>B8*(1+B8/B1)</f>
        <v>0</v>
      </c>
      <c r="D8" s="47">
        <f>C8/(1+2/B1)</f>
        <v>0</v>
      </c>
      <c r="E8" s="33"/>
      <c r="F8" s="44" t="s">
        <v>14</v>
      </c>
      <c r="G8" s="45"/>
      <c r="H8" s="48">
        <f>G8*(1+G8/B1)</f>
        <v>0</v>
      </c>
      <c r="I8" s="47">
        <f>H8/(1+2/B1)</f>
        <v>0</v>
      </c>
      <c r="J8" s="33"/>
      <c r="K8" s="41"/>
      <c r="L8" s="33" t="s">
        <v>46</v>
      </c>
      <c r="M8" s="42" t="s">
        <v>10</v>
      </c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3.8">
      <c r="A9" s="49" t="s">
        <v>16</v>
      </c>
      <c r="B9" s="50">
        <f>B7*B8</f>
        <v>0</v>
      </c>
      <c r="C9" s="50">
        <f>B7*C8</f>
        <v>0</v>
      </c>
      <c r="D9" s="51">
        <f>B7*D8</f>
        <v>0</v>
      </c>
      <c r="E9" s="33"/>
      <c r="F9" s="49" t="s">
        <v>16</v>
      </c>
      <c r="G9" s="50">
        <f>G7*G8</f>
        <v>0</v>
      </c>
      <c r="H9" s="50">
        <f>G7*H8</f>
        <v>0</v>
      </c>
      <c r="I9" s="51">
        <f>G7*I8</f>
        <v>0</v>
      </c>
      <c r="J9" s="33"/>
      <c r="K9" s="49" t="s">
        <v>17</v>
      </c>
      <c r="L9" s="50">
        <f t="shared" ref="L9:M9" si="0">C9+H9</f>
        <v>0</v>
      </c>
      <c r="M9" s="51">
        <f t="shared" si="0"/>
        <v>0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3.8">
      <c r="A10" s="52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6.2">
      <c r="A11" s="38" t="s">
        <v>47</v>
      </c>
      <c r="B11" s="39"/>
      <c r="C11" s="39" t="s">
        <v>4</v>
      </c>
      <c r="D11" s="40" t="s">
        <v>48</v>
      </c>
      <c r="E11" s="33"/>
      <c r="F11" s="38" t="s">
        <v>49</v>
      </c>
      <c r="G11" s="39"/>
      <c r="H11" s="39" t="s">
        <v>4</v>
      </c>
      <c r="I11" s="40" t="s">
        <v>50</v>
      </c>
      <c r="J11" s="33"/>
      <c r="K11" s="38" t="s">
        <v>51</v>
      </c>
      <c r="L11" s="39"/>
      <c r="M11" s="40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4.4">
      <c r="A12" s="43"/>
      <c r="B12" s="33"/>
      <c r="C12" s="33" t="s">
        <v>52</v>
      </c>
      <c r="D12" s="42" t="s">
        <v>10</v>
      </c>
      <c r="E12" s="33"/>
      <c r="F12" s="43"/>
      <c r="G12" s="33"/>
      <c r="H12" s="33" t="s">
        <v>53</v>
      </c>
      <c r="I12" s="42" t="s">
        <v>10</v>
      </c>
      <c r="J12" s="33"/>
      <c r="K12" s="43"/>
      <c r="L12" s="33"/>
      <c r="M12" s="4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6">
      <c r="A13" s="44" t="s">
        <v>54</v>
      </c>
      <c r="B13" s="45"/>
      <c r="C13" s="48">
        <f>B13*(1+D15*B13/B1)</f>
        <v>0</v>
      </c>
      <c r="D13" s="53">
        <f>C13/(1+2/B1)</f>
        <v>0</v>
      </c>
      <c r="E13" s="33"/>
      <c r="F13" s="44" t="s">
        <v>55</v>
      </c>
      <c r="G13" s="45"/>
      <c r="H13" s="48">
        <f>G13*(1+I15*G13/B1)</f>
        <v>0</v>
      </c>
      <c r="I13" s="53">
        <f>H13/(1+2/B1)</f>
        <v>0</v>
      </c>
      <c r="J13" s="33"/>
      <c r="K13" s="43"/>
      <c r="L13" s="33" t="s">
        <v>4</v>
      </c>
      <c r="M13" s="42" t="s">
        <v>56</v>
      </c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6">
      <c r="A14" s="44" t="s">
        <v>57</v>
      </c>
      <c r="B14" s="45"/>
      <c r="C14" s="33"/>
      <c r="D14" s="42"/>
      <c r="E14" s="33"/>
      <c r="F14" s="44" t="s">
        <v>58</v>
      </c>
      <c r="G14" s="45"/>
      <c r="H14" s="33"/>
      <c r="I14" s="42"/>
      <c r="J14" s="33"/>
      <c r="K14" s="41"/>
      <c r="L14" s="33" t="s">
        <v>59</v>
      </c>
      <c r="M14" s="42" t="s">
        <v>10</v>
      </c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6">
      <c r="A15" s="54" t="s">
        <v>60</v>
      </c>
      <c r="B15" s="55" t="e">
        <f>B13/B14</f>
        <v>#DIV/0!</v>
      </c>
      <c r="C15" s="56" t="s">
        <v>61</v>
      </c>
      <c r="D15" s="57">
        <f>IF(B14=0,0,2/(B3*B14)*(1-(1-EXP(-B3*B14))/(B3*B14)))</f>
        <v>0</v>
      </c>
      <c r="E15" s="33"/>
      <c r="F15" s="54" t="s">
        <v>60</v>
      </c>
      <c r="G15" s="55" t="e">
        <f>G13/G14</f>
        <v>#DIV/0!</v>
      </c>
      <c r="H15" s="56" t="s">
        <v>62</v>
      </c>
      <c r="I15" s="57">
        <f>IF(G14=0,0,2/(B3*G14)*(1-(1-EXP(-B3*G14))/(B3*G14)))</f>
        <v>0</v>
      </c>
      <c r="J15" s="33"/>
      <c r="K15" s="49" t="s">
        <v>63</v>
      </c>
      <c r="L15" s="50">
        <f t="shared" ref="L15:M15" si="1">C13+H13+C19+H19</f>
        <v>0</v>
      </c>
      <c r="M15" s="51">
        <f t="shared" si="1"/>
        <v>0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3.8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6.2">
      <c r="A17" s="38" t="s">
        <v>64</v>
      </c>
      <c r="B17" s="39"/>
      <c r="C17" s="39" t="s">
        <v>4</v>
      </c>
      <c r="D17" s="40" t="s">
        <v>65</v>
      </c>
      <c r="E17" s="33"/>
      <c r="F17" s="38" t="s">
        <v>66</v>
      </c>
      <c r="G17" s="39"/>
      <c r="H17" s="39" t="s">
        <v>4</v>
      </c>
      <c r="I17" s="40" t="s">
        <v>67</v>
      </c>
      <c r="J17" s="33"/>
      <c r="K17" s="38" t="s">
        <v>68</v>
      </c>
      <c r="L17" s="39"/>
      <c r="M17" s="40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4">
      <c r="A18" s="43"/>
      <c r="B18" s="33"/>
      <c r="C18" s="33" t="s">
        <v>69</v>
      </c>
      <c r="D18" s="42" t="s">
        <v>10</v>
      </c>
      <c r="E18" s="33"/>
      <c r="F18" s="43"/>
      <c r="G18" s="33"/>
      <c r="H18" s="33" t="s">
        <v>70</v>
      </c>
      <c r="I18" s="42" t="s">
        <v>10</v>
      </c>
      <c r="J18" s="33"/>
      <c r="K18" s="43"/>
      <c r="L18" s="33"/>
      <c r="M18" s="42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6">
      <c r="A19" s="44" t="s">
        <v>71</v>
      </c>
      <c r="B19" s="45"/>
      <c r="C19" s="48">
        <f>B19*(1+D21*B19/B1)</f>
        <v>0</v>
      </c>
      <c r="D19" s="53">
        <f>C19/(1+2/B1)</f>
        <v>0</v>
      </c>
      <c r="E19" s="33"/>
      <c r="F19" s="44" t="s">
        <v>72</v>
      </c>
      <c r="G19" s="45"/>
      <c r="H19" s="48">
        <f>G19*(1+I21*G19/B1)</f>
        <v>0</v>
      </c>
      <c r="I19" s="53">
        <f>H19/(1+2/B1)</f>
        <v>0</v>
      </c>
      <c r="J19" s="33"/>
      <c r="K19" s="43"/>
      <c r="L19" s="33" t="s">
        <v>4</v>
      </c>
      <c r="M19" s="42" t="s">
        <v>73</v>
      </c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6">
      <c r="A20" s="44" t="s">
        <v>74</v>
      </c>
      <c r="B20" s="45"/>
      <c r="C20" s="33"/>
      <c r="D20" s="42"/>
      <c r="E20" s="33"/>
      <c r="F20" s="44" t="s">
        <v>75</v>
      </c>
      <c r="G20" s="45"/>
      <c r="H20" s="33"/>
      <c r="I20" s="42"/>
      <c r="J20" s="33"/>
      <c r="K20" s="43"/>
      <c r="L20" s="33" t="s">
        <v>76</v>
      </c>
      <c r="M20" s="42" t="s">
        <v>10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54" t="s">
        <v>60</v>
      </c>
      <c r="B21" s="55" t="e">
        <f>B19/B20</f>
        <v>#DIV/0!</v>
      </c>
      <c r="C21" s="56" t="s">
        <v>77</v>
      </c>
      <c r="D21" s="57">
        <f>IF(B20=0,0,2/(B3*B20)*(1-(1-EXP(-B3*B20))/(B3*B20)))</f>
        <v>0</v>
      </c>
      <c r="E21" s="33"/>
      <c r="F21" s="54" t="s">
        <v>60</v>
      </c>
      <c r="G21" s="55" t="e">
        <f>G19/G20</f>
        <v>#DIV/0!</v>
      </c>
      <c r="H21" s="56" t="s">
        <v>78</v>
      </c>
      <c r="I21" s="57">
        <f>IF(G20=0,0,2/(B3*G20)*(1-(1-EXP(-B3*G20))/(B3*G20)))</f>
        <v>0</v>
      </c>
      <c r="J21" s="33"/>
      <c r="K21" s="49" t="s">
        <v>79</v>
      </c>
      <c r="L21" s="50">
        <f t="shared" ref="L21:M21" si="2">L9+L15</f>
        <v>0</v>
      </c>
      <c r="M21" s="51">
        <f t="shared" si="2"/>
        <v>0</v>
      </c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58" t="s">
        <v>80</v>
      </c>
      <c r="B24" s="59">
        <f>IF(B13=0,D15,0)</f>
        <v>0</v>
      </c>
      <c r="C24" s="58" t="s">
        <v>81</v>
      </c>
      <c r="D24" s="59">
        <f t="shared" ref="D24:D27" si="3">IF(B24=0,0,1)</f>
        <v>0</v>
      </c>
      <c r="E24" s="4"/>
      <c r="F24" s="38" t="s">
        <v>32</v>
      </c>
      <c r="G24" s="39" t="s">
        <v>19</v>
      </c>
      <c r="H24" s="39" t="s">
        <v>4</v>
      </c>
      <c r="I24" s="40" t="s">
        <v>82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58" t="s">
        <v>83</v>
      </c>
      <c r="B25" s="59">
        <f>IF(G13=0,I15,0)</f>
        <v>0</v>
      </c>
      <c r="C25" s="58" t="s">
        <v>84</v>
      </c>
      <c r="D25" s="59">
        <f t="shared" si="3"/>
        <v>0</v>
      </c>
      <c r="E25" s="4"/>
      <c r="F25" s="60" t="s">
        <v>79</v>
      </c>
      <c r="G25" s="33" t="s">
        <v>10</v>
      </c>
      <c r="H25" s="33" t="s">
        <v>85</v>
      </c>
      <c r="I25" s="42" t="s">
        <v>10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58" t="s">
        <v>86</v>
      </c>
      <c r="B26" s="59">
        <f>IF(B19=0,D21,0)</f>
        <v>0</v>
      </c>
      <c r="C26" s="58" t="s">
        <v>87</v>
      </c>
      <c r="D26" s="59">
        <f t="shared" si="3"/>
        <v>0</v>
      </c>
      <c r="E26" s="4"/>
      <c r="F26" s="43"/>
      <c r="G26" s="33"/>
      <c r="H26" s="33"/>
      <c r="I26" s="42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58" t="s">
        <v>88</v>
      </c>
      <c r="B27" s="59">
        <f>IF(G19=0,I21,0)</f>
        <v>0</v>
      </c>
      <c r="C27" s="58" t="s">
        <v>89</v>
      </c>
      <c r="D27" s="59">
        <f t="shared" si="3"/>
        <v>0</v>
      </c>
      <c r="E27" s="4"/>
      <c r="F27" s="44" t="s">
        <v>35</v>
      </c>
      <c r="G27" s="33"/>
      <c r="H27" s="48">
        <f>I27*(1+2/B1)</f>
        <v>0</v>
      </c>
      <c r="I27" s="45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58" t="s">
        <v>90</v>
      </c>
      <c r="B28" s="59" t="e">
        <f>SUM(D24:D27)/SUM(B24:B27)</f>
        <v>#DIV/0!</v>
      </c>
      <c r="C28" s="58" t="s">
        <v>91</v>
      </c>
      <c r="D28" s="59" t="e">
        <f>1/SUM(B24:B27)</f>
        <v>#DIV/0!</v>
      </c>
      <c r="E28" s="4"/>
      <c r="F28" s="61" t="s">
        <v>92</v>
      </c>
      <c r="G28" s="62" t="e">
        <f>-B1*B28/2+SQRT(B1*B1*B28*B28/4+B1*D28*(H27-L9-L15))</f>
        <v>#DIV/0!</v>
      </c>
      <c r="H28" s="55"/>
      <c r="I28" s="63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/>
      <c r="B29" s="4"/>
      <c r="C29" s="4"/>
      <c r="D29" s="4"/>
      <c r="E29" s="4"/>
      <c r="F29" s="64"/>
      <c r="G29" s="33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C30" s="4"/>
      <c r="D30" s="4"/>
      <c r="E30" s="4"/>
      <c r="F30" s="64"/>
      <c r="G30" s="33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activeCell="J10" sqref="J10"/>
    </sheetView>
  </sheetViews>
  <sheetFormatPr defaultColWidth="14.44140625" defaultRowHeight="15" customHeight="1"/>
  <cols>
    <col min="1" max="1" width="20.6640625" customWidth="1"/>
    <col min="2" max="4" width="7.33203125" customWidth="1"/>
    <col min="5" max="5" width="8.6640625" customWidth="1"/>
    <col min="6" max="6" width="20.6640625" customWidth="1"/>
    <col min="7" max="9" width="7.33203125" customWidth="1"/>
    <col min="10" max="10" width="8.6640625" customWidth="1"/>
    <col min="11" max="11" width="12.6640625" customWidth="1"/>
    <col min="12" max="12" width="7.33203125" customWidth="1"/>
    <col min="13" max="13" width="8.33203125" customWidth="1"/>
    <col min="14" max="26" width="8" customWidth="1"/>
  </cols>
  <sheetData>
    <row r="1" spans="1:26" ht="15.6">
      <c r="A1" s="65" t="s">
        <v>93</v>
      </c>
      <c r="B1" s="32">
        <v>10</v>
      </c>
      <c r="C1" s="33"/>
      <c r="D1" s="4" t="s">
        <v>1</v>
      </c>
      <c r="E1" s="33"/>
      <c r="F1" s="4"/>
      <c r="G1" s="4"/>
      <c r="H1" s="33"/>
      <c r="I1" s="33"/>
      <c r="J1" s="33"/>
      <c r="K1" s="4"/>
      <c r="L1" s="33"/>
      <c r="M1" s="33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">
      <c r="A2" s="66" t="s">
        <v>94</v>
      </c>
      <c r="B2" s="32">
        <v>1.5</v>
      </c>
      <c r="C2" s="33"/>
      <c r="D2" s="6" t="s">
        <v>2</v>
      </c>
      <c r="E2" s="33"/>
      <c r="F2" s="34"/>
      <c r="G2" s="4"/>
      <c r="H2" s="33"/>
      <c r="I2" s="33"/>
      <c r="J2" s="33"/>
      <c r="K2" s="34"/>
      <c r="L2" s="33"/>
      <c r="M2" s="33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6">
      <c r="A3" s="36" t="s">
        <v>95</v>
      </c>
      <c r="B3" s="37">
        <f>LN(2)/B2</f>
        <v>0.46209812037329684</v>
      </c>
      <c r="C3" s="33"/>
      <c r="D3" s="33"/>
      <c r="E3" s="33"/>
      <c r="F3" s="4"/>
      <c r="G3" s="4"/>
      <c r="H3" s="33"/>
      <c r="I3" s="33"/>
      <c r="J3" s="33"/>
      <c r="K3" s="33"/>
      <c r="L3" s="33"/>
      <c r="M3" s="33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6">
      <c r="A4" s="67"/>
      <c r="B4" s="68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6.2">
      <c r="A5" s="38" t="s">
        <v>3</v>
      </c>
      <c r="B5" s="39"/>
      <c r="C5" s="39" t="s">
        <v>4</v>
      </c>
      <c r="D5" s="40" t="s">
        <v>96</v>
      </c>
      <c r="E5" s="33"/>
      <c r="F5" s="38" t="s">
        <v>6</v>
      </c>
      <c r="G5" s="39"/>
      <c r="H5" s="39" t="s">
        <v>4</v>
      </c>
      <c r="I5" s="40" t="s">
        <v>97</v>
      </c>
      <c r="J5" s="33"/>
      <c r="K5" s="38" t="s">
        <v>8</v>
      </c>
      <c r="L5" s="39"/>
      <c r="M5" s="40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>
      <c r="A6" s="41"/>
      <c r="B6" s="33"/>
      <c r="C6" s="33" t="s">
        <v>98</v>
      </c>
      <c r="D6" s="42" t="s">
        <v>10</v>
      </c>
      <c r="E6" s="33"/>
      <c r="F6" s="41"/>
      <c r="G6" s="33"/>
      <c r="H6" s="33" t="s">
        <v>99</v>
      </c>
      <c r="I6" s="42" t="s">
        <v>10</v>
      </c>
      <c r="J6" s="33"/>
      <c r="K6" s="43"/>
      <c r="L6" s="33"/>
      <c r="M6" s="42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6">
      <c r="A7" s="44" t="s">
        <v>12</v>
      </c>
      <c r="B7" s="45"/>
      <c r="C7" s="33"/>
      <c r="D7" s="42"/>
      <c r="E7" s="33"/>
      <c r="F7" s="44" t="s">
        <v>12</v>
      </c>
      <c r="G7" s="45"/>
      <c r="H7" s="33"/>
      <c r="I7" s="42"/>
      <c r="J7" s="33"/>
      <c r="K7" s="43"/>
      <c r="L7" s="33" t="s">
        <v>4</v>
      </c>
      <c r="M7" s="42" t="s">
        <v>100</v>
      </c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4.4">
      <c r="A8" s="44" t="s">
        <v>14</v>
      </c>
      <c r="B8" s="45"/>
      <c r="C8" s="48">
        <f>B8*(1+B8/B1)</f>
        <v>0</v>
      </c>
      <c r="D8" s="47">
        <f>C8/(1+2/B1)</f>
        <v>0</v>
      </c>
      <c r="E8" s="33"/>
      <c r="F8" s="44" t="s">
        <v>14</v>
      </c>
      <c r="G8" s="45"/>
      <c r="H8" s="48">
        <f>G8*(1+G8/B1)</f>
        <v>0</v>
      </c>
      <c r="I8" s="47">
        <f>H8/(1+2/B1)</f>
        <v>0</v>
      </c>
      <c r="J8" s="33"/>
      <c r="K8" s="41"/>
      <c r="L8" s="33" t="s">
        <v>101</v>
      </c>
      <c r="M8" s="42" t="s">
        <v>10</v>
      </c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3.8">
      <c r="A9" s="49" t="s">
        <v>16</v>
      </c>
      <c r="B9" s="50">
        <f>B7*B8</f>
        <v>0</v>
      </c>
      <c r="C9" s="50">
        <f>B7*C8</f>
        <v>0</v>
      </c>
      <c r="D9" s="51">
        <f>B7*D8</f>
        <v>0</v>
      </c>
      <c r="E9" s="33"/>
      <c r="F9" s="49" t="s">
        <v>16</v>
      </c>
      <c r="G9" s="50">
        <f>G7*G8</f>
        <v>0</v>
      </c>
      <c r="H9" s="50">
        <f>G7*H8</f>
        <v>0</v>
      </c>
      <c r="I9" s="51">
        <f>G7*I8</f>
        <v>0</v>
      </c>
      <c r="J9" s="33"/>
      <c r="K9" s="49" t="s">
        <v>17</v>
      </c>
      <c r="L9" s="50">
        <f t="shared" ref="L9:M9" si="0">C9+H9</f>
        <v>0</v>
      </c>
      <c r="M9" s="51">
        <f t="shared" si="0"/>
        <v>0</v>
      </c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3.8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6.2">
      <c r="A11" s="38" t="s">
        <v>102</v>
      </c>
      <c r="B11" s="39"/>
      <c r="C11" s="39" t="s">
        <v>4</v>
      </c>
      <c r="D11" s="40" t="s">
        <v>103</v>
      </c>
      <c r="E11" s="33"/>
      <c r="F11" s="38" t="s">
        <v>104</v>
      </c>
      <c r="G11" s="39"/>
      <c r="H11" s="39" t="s">
        <v>4</v>
      </c>
      <c r="I11" s="40" t="s">
        <v>105</v>
      </c>
      <c r="J11" s="33"/>
      <c r="K11" s="33"/>
      <c r="L11" s="33"/>
      <c r="M11" s="33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6">
      <c r="A12" s="69" t="s">
        <v>106</v>
      </c>
      <c r="B12" s="59">
        <f>B15-B16</f>
        <v>0</v>
      </c>
      <c r="C12" s="33" t="s">
        <v>107</v>
      </c>
      <c r="D12" s="42" t="s">
        <v>10</v>
      </c>
      <c r="E12" s="33"/>
      <c r="F12" s="69" t="s">
        <v>108</v>
      </c>
      <c r="G12" s="59">
        <f>G15-G16</f>
        <v>0</v>
      </c>
      <c r="H12" s="33" t="s">
        <v>109</v>
      </c>
      <c r="I12" s="42" t="s">
        <v>10</v>
      </c>
      <c r="J12" s="33"/>
      <c r="K12" s="33"/>
      <c r="L12" s="33"/>
      <c r="M12" s="33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6.2">
      <c r="A13" s="44" t="s">
        <v>110</v>
      </c>
      <c r="B13" s="45"/>
      <c r="C13" s="59" t="s">
        <v>111</v>
      </c>
      <c r="D13" s="70">
        <f>1-EXP(-B3*B16)</f>
        <v>0</v>
      </c>
      <c r="E13" s="33"/>
      <c r="F13" s="44" t="s">
        <v>112</v>
      </c>
      <c r="G13" s="45"/>
      <c r="H13" s="59" t="s">
        <v>113</v>
      </c>
      <c r="I13" s="70">
        <f>1-EXP(-B3*G16)</f>
        <v>0</v>
      </c>
      <c r="J13" s="33"/>
      <c r="K13" s="38" t="s">
        <v>114</v>
      </c>
      <c r="L13" s="39"/>
      <c r="M13" s="40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6">
      <c r="A14" s="44" t="s">
        <v>115</v>
      </c>
      <c r="B14" s="45"/>
      <c r="C14" s="59" t="s">
        <v>116</v>
      </c>
      <c r="D14" s="70">
        <f>EXP(-B3*B12)</f>
        <v>1</v>
      </c>
      <c r="E14" s="33"/>
      <c r="F14" s="44" t="s">
        <v>117</v>
      </c>
      <c r="G14" s="45"/>
      <c r="H14" s="59" t="s">
        <v>118</v>
      </c>
      <c r="I14" s="70">
        <f>EXP(-B3*G12)</f>
        <v>1</v>
      </c>
      <c r="J14" s="33"/>
      <c r="K14" s="43"/>
      <c r="L14" s="33"/>
      <c r="M14" s="42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6">
      <c r="A15" s="44" t="s">
        <v>119</v>
      </c>
      <c r="B15" s="45"/>
      <c r="C15" s="59" t="s">
        <v>120</v>
      </c>
      <c r="D15" s="70" t="e">
        <f>(B14*D14-D14-B14*D14*D14*EXP(-B3*B16)+POWER(D14,B14+1)*EXP(-B3*B14*B16))/(POWER(1-D14*EXP(-B3*B16),2))</f>
        <v>#DIV/0!</v>
      </c>
      <c r="E15" s="33"/>
      <c r="F15" s="44" t="s">
        <v>119</v>
      </c>
      <c r="G15" s="45"/>
      <c r="H15" s="59" t="s">
        <v>121</v>
      </c>
      <c r="I15" s="70" t="e">
        <f>(G14*I14-I14-G14*I14*I14*EXP(-B3*G16)+POWER(I14,G14+1)*EXP(-B3*G14*G16))/(POWER(1-I14*EXP(-B3*G16),2))</f>
        <v>#DIV/0!</v>
      </c>
      <c r="J15" s="33"/>
      <c r="K15" s="43"/>
      <c r="L15" s="33" t="s">
        <v>4</v>
      </c>
      <c r="M15" s="42" t="s">
        <v>122</v>
      </c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6">
      <c r="A16" s="44" t="s">
        <v>123</v>
      </c>
      <c r="B16" s="45"/>
      <c r="C16" s="59" t="s">
        <v>124</v>
      </c>
      <c r="D16" s="70">
        <f>IF(B14=0,0,2/B3/B16*(1-(B14*D13-D15*D13*D13)/(B14*B3*B16)))</f>
        <v>0</v>
      </c>
      <c r="E16" s="33"/>
      <c r="F16" s="44" t="s">
        <v>125</v>
      </c>
      <c r="G16" s="45"/>
      <c r="H16" s="59" t="s">
        <v>126</v>
      </c>
      <c r="I16" s="70">
        <f>IF(G14=0,0,2/B3/G16*(1-(G14*I13-I15*I13*I13)/(G14*B3*G16)))</f>
        <v>0</v>
      </c>
      <c r="J16" s="33"/>
      <c r="K16" s="41"/>
      <c r="L16" s="33" t="s">
        <v>127</v>
      </c>
      <c r="M16" s="42" t="s">
        <v>10</v>
      </c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6">
      <c r="A17" s="54" t="s">
        <v>128</v>
      </c>
      <c r="B17" s="50">
        <f>B13*B14</f>
        <v>0</v>
      </c>
      <c r="C17" s="50">
        <f>B14*B13*(1+D16*B13/B1)</f>
        <v>0</v>
      </c>
      <c r="D17" s="51">
        <f>C17/(1+2/B1)</f>
        <v>0</v>
      </c>
      <c r="E17" s="33"/>
      <c r="F17" s="54" t="s">
        <v>129</v>
      </c>
      <c r="G17" s="50">
        <f>G13*G14</f>
        <v>0</v>
      </c>
      <c r="H17" s="50">
        <f>G14*G13*(1+I16*G13/B1)</f>
        <v>0</v>
      </c>
      <c r="I17" s="51">
        <f>H17/(1+2/B1)</f>
        <v>0</v>
      </c>
      <c r="J17" s="33"/>
      <c r="K17" s="49" t="s">
        <v>130</v>
      </c>
      <c r="L17" s="50">
        <f t="shared" ref="L17:M17" si="1">C17+H17</f>
        <v>0</v>
      </c>
      <c r="M17" s="51">
        <f t="shared" si="1"/>
        <v>0</v>
      </c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3.8">
      <c r="A18" s="33"/>
      <c r="B18" s="33"/>
      <c r="C18" s="33"/>
      <c r="D18" s="33"/>
      <c r="E18" s="33"/>
      <c r="F18" s="4"/>
      <c r="G18" s="4"/>
      <c r="H18" s="4"/>
      <c r="I18" s="4"/>
      <c r="J18" s="33"/>
      <c r="K18" s="33"/>
      <c r="L18" s="33"/>
      <c r="M18" s="33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6">
      <c r="A19" s="4"/>
      <c r="B19" s="4"/>
      <c r="C19" s="4"/>
      <c r="D19" s="4"/>
      <c r="E19" s="4"/>
      <c r="F19" s="4"/>
      <c r="G19" s="4"/>
      <c r="H19" s="4"/>
      <c r="I19" s="4"/>
      <c r="J19" s="33"/>
      <c r="K19" s="38" t="s">
        <v>131</v>
      </c>
      <c r="L19" s="39"/>
      <c r="M19" s="40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3.8">
      <c r="A20" s="4"/>
      <c r="B20" s="4"/>
      <c r="C20" s="4"/>
      <c r="D20" s="4"/>
      <c r="E20" s="4"/>
      <c r="F20" s="4"/>
      <c r="G20" s="4"/>
      <c r="H20" s="4"/>
      <c r="I20" s="4"/>
      <c r="J20" s="33"/>
      <c r="K20" s="43"/>
      <c r="L20" s="33"/>
      <c r="M20" s="42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>
      <c r="A21" s="4"/>
      <c r="B21" s="4"/>
      <c r="C21" s="4"/>
      <c r="D21" s="4"/>
      <c r="E21" s="4"/>
      <c r="F21" s="4"/>
      <c r="G21" s="4"/>
      <c r="H21" s="4"/>
      <c r="I21" s="4"/>
      <c r="J21" s="33"/>
      <c r="K21" s="43"/>
      <c r="L21" s="33" t="s">
        <v>4</v>
      </c>
      <c r="M21" s="42" t="s">
        <v>132</v>
      </c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>
      <c r="A22" s="4"/>
      <c r="B22" s="4"/>
      <c r="C22" s="4"/>
      <c r="D22" s="4"/>
      <c r="E22" s="4"/>
      <c r="F22" s="4"/>
      <c r="G22" s="4"/>
      <c r="H22" s="4"/>
      <c r="I22" s="4"/>
      <c r="J22" s="33"/>
      <c r="K22" s="41"/>
      <c r="L22" s="33" t="s">
        <v>133</v>
      </c>
      <c r="M22" s="42" t="s">
        <v>10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>
      <c r="A23" s="4"/>
      <c r="B23" s="4"/>
      <c r="C23" s="4"/>
      <c r="D23" s="4"/>
      <c r="E23" s="4"/>
      <c r="F23" s="4"/>
      <c r="G23" s="4"/>
      <c r="H23" s="4"/>
      <c r="I23" s="4"/>
      <c r="J23" s="33"/>
      <c r="K23" s="49" t="s">
        <v>134</v>
      </c>
      <c r="L23" s="50">
        <f t="shared" ref="L23:M23" si="2">L9+L17</f>
        <v>0</v>
      </c>
      <c r="M23" s="51">
        <f t="shared" si="2"/>
        <v>0</v>
      </c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>
      <c r="A24" s="58" t="s">
        <v>135</v>
      </c>
      <c r="B24" s="59">
        <f>IF(B13=0,D16,0)</f>
        <v>0</v>
      </c>
      <c r="C24" s="58" t="s">
        <v>81</v>
      </c>
      <c r="D24" s="59">
        <f>IF(B24=0,0,B14)</f>
        <v>0</v>
      </c>
      <c r="E24" s="33"/>
      <c r="F24" s="38" t="s">
        <v>32</v>
      </c>
      <c r="G24" s="39" t="s">
        <v>19</v>
      </c>
      <c r="H24" s="39" t="s">
        <v>4</v>
      </c>
      <c r="I24" s="40" t="s">
        <v>136</v>
      </c>
      <c r="J24" s="33"/>
      <c r="K24" s="33"/>
      <c r="L24" s="33"/>
      <c r="M24" s="33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>
      <c r="A25" s="58" t="s">
        <v>137</v>
      </c>
      <c r="B25" s="59">
        <f>IF(G13=0,I16,0)</f>
        <v>0</v>
      </c>
      <c r="C25" s="58" t="s">
        <v>84</v>
      </c>
      <c r="D25" s="59">
        <f>IF(B25=0,0,G14)</f>
        <v>0</v>
      </c>
      <c r="E25" s="33"/>
      <c r="F25" s="60" t="s">
        <v>134</v>
      </c>
      <c r="G25" s="33" t="s">
        <v>10</v>
      </c>
      <c r="H25" s="33" t="s">
        <v>138</v>
      </c>
      <c r="I25" s="42" t="s">
        <v>10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>
      <c r="A26" s="58" t="s">
        <v>90</v>
      </c>
      <c r="B26" s="59" t="e">
        <f>SUM(D24:D25)/SUM(D24*B24,D25*B25)</f>
        <v>#DIV/0!</v>
      </c>
      <c r="C26" s="58" t="s">
        <v>91</v>
      </c>
      <c r="D26" s="59" t="e">
        <f>1/SUM(D24*B24,D25*B25)</f>
        <v>#DIV/0!</v>
      </c>
      <c r="E26" s="33"/>
      <c r="F26" s="43"/>
      <c r="G26" s="33"/>
      <c r="H26" s="33"/>
      <c r="I26" s="42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>
      <c r="A27" s="64"/>
      <c r="B27" s="33"/>
      <c r="C27" s="64"/>
      <c r="D27" s="33"/>
      <c r="E27" s="33"/>
      <c r="F27" s="44" t="s">
        <v>35</v>
      </c>
      <c r="G27" s="33"/>
      <c r="H27" s="48">
        <f>I27*(1+2/B1)</f>
        <v>0</v>
      </c>
      <c r="I27" s="45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>
      <c r="A28" s="4"/>
      <c r="B28" s="4"/>
      <c r="C28" s="4"/>
      <c r="D28" s="4"/>
      <c r="E28" s="33"/>
      <c r="F28" s="61" t="s">
        <v>139</v>
      </c>
      <c r="G28" s="71" t="e">
        <f>-B1*B26/2+SQRT(B1*B1*B26*B26/4+B1*D26*(H27-L9-L17))</f>
        <v>#DIV/0!</v>
      </c>
      <c r="H28" s="72"/>
      <c r="I28" s="73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EBRT</vt:lpstr>
      <vt:lpstr>HDR</vt:lpstr>
      <vt:lpstr>LDR-MDR</vt:lpstr>
      <vt:lpstr>PDR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AKHSTRLAN</dc:creator>
  <cp:lastModifiedBy>Nik Ameer</cp:lastModifiedBy>
  <dcterms:created xsi:type="dcterms:W3CDTF">2003-06-23T12:49:15Z</dcterms:created>
  <dcterms:modified xsi:type="dcterms:W3CDTF">2025-04-28T03:25:38Z</dcterms:modified>
</cp:coreProperties>
</file>